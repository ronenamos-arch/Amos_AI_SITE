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onen\Documents\Projects\Business\AI FINANCE TRANSFORMATION\Course\Copilot\AI Finance Course Builder\Claude\FILES\"/>
    </mc:Choice>
  </mc:AlternateContent>
  <xr:revisionPtr revIDLastSave="0" documentId="13_ncr:1_{2B868268-2F43-4833-9E95-E6329CC7E660}" xr6:coauthVersionLast="47" xr6:coauthVersionMax="47" xr10:uidLastSave="{00000000-0000-0000-0000-000000000000}"/>
  <bookViews>
    <workbookView xWindow="-120" yWindow="-120" windowWidth="29040" windowHeight="15720" tabRatio="500" firstSheet="3" activeTab="5" xr2:uid="{00000000-000D-0000-FFFF-FFFF00000000}"/>
  </bookViews>
  <sheets>
    <sheet name="Claude Log" sheetId="7" r:id="rId1"/>
    <sheet name="1 - Bank Reconciliation" sheetId="1" r:id="rId2"/>
    <sheet name="2 - Data Cleaning" sheetId="2" r:id="rId3"/>
    <sheet name="3 - Expense Categorizer" sheetId="3" r:id="rId4"/>
    <sheet name="4 - Forecasting with AI" sheetId="4" r:id="rId5"/>
    <sheet name="5 - CFO Dashboard Data" sheetId="5" r:id="rId6"/>
    <sheet name="Dashboard Themes"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3" i="4" l="1"/>
  <c r="E33" i="4"/>
  <c r="D33" i="4"/>
  <c r="C33" i="4"/>
  <c r="B33" i="4"/>
  <c r="F32" i="4"/>
  <c r="E32" i="4"/>
  <c r="F31" i="4"/>
  <c r="E31" i="4"/>
  <c r="F30" i="4"/>
  <c r="E30" i="4"/>
  <c r="F29" i="4"/>
  <c r="E29" i="4"/>
  <c r="F28" i="4"/>
  <c r="E28" i="4"/>
  <c r="F27" i="4"/>
  <c r="E27" i="4"/>
  <c r="F26" i="4"/>
  <c r="E26" i="4"/>
  <c r="F25" i="4"/>
  <c r="E25" i="4"/>
  <c r="F24" i="4"/>
  <c r="E24" i="4"/>
  <c r="F23" i="4"/>
  <c r="E23" i="4"/>
  <c r="F22" i="4"/>
  <c r="E22" i="4"/>
  <c r="E21" i="4"/>
  <c r="G19" i="5"/>
  <c r="E19" i="5"/>
  <c r="G18" i="5"/>
  <c r="E18" i="5"/>
  <c r="G17" i="5"/>
  <c r="E17" i="5"/>
  <c r="G16" i="5"/>
  <c r="E16" i="5"/>
  <c r="G15" i="5"/>
  <c r="E15" i="5"/>
  <c r="G14" i="5"/>
  <c r="E14" i="5"/>
  <c r="G13" i="5"/>
  <c r="E13" i="5"/>
  <c r="G12" i="5"/>
  <c r="E12" i="5"/>
  <c r="G11" i="5"/>
  <c r="E11" i="5"/>
  <c r="G10" i="5"/>
  <c r="E10" i="5"/>
  <c r="G9" i="5"/>
  <c r="E9" i="5"/>
  <c r="G8" i="5"/>
  <c r="E8" i="5"/>
  <c r="M16" i="4"/>
  <c r="L16" i="4"/>
  <c r="K16" i="4"/>
  <c r="J16" i="4"/>
  <c r="I16" i="4"/>
  <c r="H16" i="4"/>
  <c r="G16" i="4"/>
  <c r="F16" i="4"/>
  <c r="E16" i="4"/>
  <c r="D16" i="4"/>
  <c r="C16" i="4"/>
  <c r="B16" i="4"/>
  <c r="M13" i="4"/>
  <c r="L13" i="4"/>
  <c r="K13" i="4"/>
  <c r="J13" i="4"/>
  <c r="I13" i="4"/>
  <c r="H13" i="4"/>
  <c r="G13" i="4"/>
  <c r="F13" i="4"/>
  <c r="E13" i="4"/>
  <c r="D13" i="4"/>
  <c r="C13" i="4"/>
  <c r="B13" i="4"/>
  <c r="M10" i="4"/>
  <c r="L10" i="4"/>
  <c r="K10" i="4"/>
  <c r="J10" i="4"/>
  <c r="I10" i="4"/>
  <c r="H10" i="4"/>
  <c r="G10" i="4"/>
  <c r="F10" i="4"/>
  <c r="E10" i="4"/>
  <c r="D10" i="4"/>
  <c r="C10" i="4"/>
  <c r="B10" i="4"/>
</calcChain>
</file>

<file path=xl/sharedStrings.xml><?xml version="1.0" encoding="utf-8"?>
<sst xmlns="http://schemas.openxmlformats.org/spreadsheetml/2006/main" count="453" uniqueCount="334">
  <si>
    <t>Use Case 1 — Automate Bank Reconciliations</t>
  </si>
  <si>
    <t>Match bank transactions against your internal system records and flag exceptions</t>
  </si>
  <si>
    <t>💡 AI PROMPT TO USE WITH THIS DATA</t>
  </si>
  <si>
    <t>I have two tables of financial transactions: one from my bank export and one from my internal system. Please match them based on amount and date (within 2 days tolerance). Flag any unmatched items as exceptions and suggest whether the error is likely on the bank side or the system side. Output a reconciliation summary with: matched count, unmatched count, and total $ value of exceptions.</t>
  </si>
  <si>
    <t>📊 SAMPLE DATASET — paste into your AI tool along with the prompt above</t>
  </si>
  <si>
    <t>🏦 BANK EXPORT</t>
  </si>
  <si>
    <t>Date</t>
  </si>
  <si>
    <t>Description</t>
  </si>
  <si>
    <t>Amount ($)</t>
  </si>
  <si>
    <t>Reference</t>
  </si>
  <si>
    <t>Type</t>
  </si>
  <si>
    <t>2024-01-03</t>
  </si>
  <si>
    <t>VENDOR PAYMENT - OFFICE SUPPLIES</t>
  </si>
  <si>
    <t>TXN001</t>
  </si>
  <si>
    <t>Debit</t>
  </si>
  <si>
    <t>2024-01-05</t>
  </si>
  <si>
    <t>CLIENT PAYMENT - ACME CORP</t>
  </si>
  <si>
    <t>TXN002</t>
  </si>
  <si>
    <t>Credit</t>
  </si>
  <si>
    <t>2024-01-07</t>
  </si>
  <si>
    <t>PAYROLL RUN</t>
  </si>
  <si>
    <t>TXN003</t>
  </si>
  <si>
    <t>2024-01-08</t>
  </si>
  <si>
    <t>RENT PAYMENT</t>
  </si>
  <si>
    <t>TXN004</t>
  </si>
  <si>
    <t>2024-01-10</t>
  </si>
  <si>
    <t>CLIENT PAYMENT - GLOBEX</t>
  </si>
  <si>
    <t>TXN005</t>
  </si>
  <si>
    <t>2024-01-11</t>
  </si>
  <si>
    <t>BANK FEE</t>
  </si>
  <si>
    <t>TXN006</t>
  </si>
  <si>
    <t>2024-01-12</t>
  </si>
  <si>
    <t>UTILITY BILL</t>
  </si>
  <si>
    <t>TXN007</t>
  </si>
  <si>
    <t>2024-01-15</t>
  </si>
  <si>
    <t>CLIENT PAYMENT - INITECH</t>
  </si>
  <si>
    <t>TXN008</t>
  </si>
  <si>
    <t>2024-01-17</t>
  </si>
  <si>
    <t>INSURANCE PREMIUM</t>
  </si>
  <si>
    <t>TXN009</t>
  </si>
  <si>
    <t>2024-01-20</t>
  </si>
  <si>
    <t>REFUND RECEIVED</t>
  </si>
  <si>
    <t>TXN010</t>
  </si>
  <si>
    <t>💻 INTERNAL SYSTEM EXPORT</t>
  </si>
  <si>
    <t>Internal Ref</t>
  </si>
  <si>
    <t>Category</t>
  </si>
  <si>
    <t>Office Supplies - Staples</t>
  </si>
  <si>
    <t>INT-001</t>
  </si>
  <si>
    <t>OpEx</t>
  </si>
  <si>
    <t>Revenue - ACME Corp Invoice #44</t>
  </si>
  <si>
    <t>INT-002</t>
  </si>
  <si>
    <t>Revenue</t>
  </si>
  <si>
    <t>Payroll - Jan Week 1</t>
  </si>
  <si>
    <t>INT-003</t>
  </si>
  <si>
    <t>Payroll</t>
  </si>
  <si>
    <t>Office Rent - January</t>
  </si>
  <si>
    <t>INT-004</t>
  </si>
  <si>
    <t>Facilities</t>
  </si>
  <si>
    <t>Revenue - Globex Invoice #12</t>
  </si>
  <si>
    <t>INT-005</t>
  </si>
  <si>
    <t>Electricity &amp; Water</t>
  </si>
  <si>
    <t>INT-006</t>
  </si>
  <si>
    <t>Utilities</t>
  </si>
  <si>
    <t>2024-01-14</t>
  </si>
  <si>
    <t>Client Payment - Initech</t>
  </si>
  <si>
    <t>INT-007</t>
  </si>
  <si>
    <t>Insurance - Q1 Premium</t>
  </si>
  <si>
    <t>INT-008</t>
  </si>
  <si>
    <t>Insurance</t>
  </si>
  <si>
    <t>2024-01-19</t>
  </si>
  <si>
    <t>Software Subscription</t>
  </si>
  <si>
    <t>INT-009</t>
  </si>
  <si>
    <t>Software</t>
  </si>
  <si>
    <t>Refund - Supplier</t>
  </si>
  <si>
    <t>INT-010</t>
  </si>
  <si>
    <t>Misc</t>
  </si>
  <si>
    <t>Use Case 2 — Automate Data Cleaning with AI</t>
  </si>
  <si>
    <t>Raw messy export — dates inconsistent, columns mixed, blanks, duplicates</t>
  </si>
  <si>
    <t>This is a raw finance data export with quality issues. Please clean it by: (1) Standardising all dates to YYYY-MM-DD format, (2) Removing duplicate rows, (3) Filling blank 'Category' cells based on the Description pattern, (4) Splitting 'Full Name' into 'First Name' and 'Last Name' columns, (5) Flagging any rows where Amount is missing or zero. Return the cleaned dataset and a summary of changes made.</t>
  </si>
  <si>
    <t>ID</t>
  </si>
  <si>
    <t>Full Name</t>
  </si>
  <si>
    <t>Amount</t>
  </si>
  <si>
    <t>Region</t>
  </si>
  <si>
    <t>Status</t>
  </si>
  <si>
    <t>Notes</t>
  </si>
  <si>
    <t>John Smith</t>
  </si>
  <si>
    <t>01/15/2024</t>
  </si>
  <si>
    <t>North</t>
  </si>
  <si>
    <t>Paid</t>
  </si>
  <si>
    <t>Q1</t>
  </si>
  <si>
    <t>Maria Garcia</t>
  </si>
  <si>
    <t>2024-01-18</t>
  </si>
  <si>
    <t>South</t>
  </si>
  <si>
    <t>james wilson</t>
  </si>
  <si>
    <t>January 22, 2024</t>
  </si>
  <si>
    <t>East</t>
  </si>
  <si>
    <t>Pending</t>
  </si>
  <si>
    <t>Needs review</t>
  </si>
  <si>
    <t>Liu Wei</t>
  </si>
  <si>
    <t>23/01/2024</t>
  </si>
  <si>
    <t>West</t>
  </si>
  <si>
    <t>Key account</t>
  </si>
  <si>
    <t>Sarah O'Brien</t>
  </si>
  <si>
    <t>2024-01-25</t>
  </si>
  <si>
    <t>Marketing Spend</t>
  </si>
  <si>
    <t>Tom BAKER</t>
  </si>
  <si>
    <t>01-28-2024</t>
  </si>
  <si>
    <t>Amara Diallo</t>
  </si>
  <si>
    <t>2024/01/30</t>
  </si>
  <si>
    <t>peter jones</t>
  </si>
  <si>
    <t>Feb 2 2024</t>
  </si>
  <si>
    <t>payroll</t>
  </si>
  <si>
    <t>Nina Petrov</t>
  </si>
  <si>
    <t>2024-02-05</t>
  </si>
  <si>
    <t>Missing amount</t>
  </si>
  <si>
    <t>Carlos Ruiz</t>
  </si>
  <si>
    <t>02/08/2024</t>
  </si>
  <si>
    <t>Emma Clarke</t>
  </si>
  <si>
    <t>2024-02-10</t>
  </si>
  <si>
    <t>Expense claim</t>
  </si>
  <si>
    <t>Use Case 3 — AI Expense Categorizer</t>
  </si>
  <si>
    <t>Credit card transactions needing categorisation into your chart of accounts</t>
  </si>
  <si>
    <t>You are my Expense Categorizer. Below is a list of company credit card transactions. Categorise each one into the following categories: Travel, Software &amp; SaaS, Office Supplies, Meals &amp; Entertainment, Marketing, Professional Services, Utilities, Other. For each row add: (1) the Category, (2) a Confidence score (High/Medium/Low), (3) a one-line Reason. Flag any transactions that look unusual or potentially non-business.</t>
  </si>
  <si>
    <t>Employee</t>
  </si>
  <si>
    <t>Merchant</t>
  </si>
  <si>
    <t>Card Last 4</t>
  </si>
  <si>
    <t>Suggested Category</t>
  </si>
  <si>
    <t>Confidence</t>
  </si>
  <si>
    <t>2024-01-04</t>
  </si>
  <si>
    <t>Alice Johnson</t>
  </si>
  <si>
    <t>UBER</t>
  </si>
  <si>
    <t>34.50</t>
  </si>
  <si>
    <t>4521</t>
  </si>
  <si>
    <t>Bob Chen</t>
  </si>
  <si>
    <t>AMAZON WEB SERVICES</t>
  </si>
  <si>
    <t>1299.00</t>
  </si>
  <si>
    <t>8834</t>
  </si>
  <si>
    <t>HILTON HOTELS AMSTERDAM</t>
  </si>
  <si>
    <t>892.00</t>
  </si>
  <si>
    <t>2024-01-06</t>
  </si>
  <si>
    <t>SLACK TECHNOLOGIES</t>
  </si>
  <si>
    <t>87.50</t>
  </si>
  <si>
    <t>2211</t>
  </si>
  <si>
    <t>RESTAURANT LE PETIT PARIS</t>
  </si>
  <si>
    <t>245.00</t>
  </si>
  <si>
    <t>Diana Lee</t>
  </si>
  <si>
    <t>STAPLES</t>
  </si>
  <si>
    <t>67.20</t>
  </si>
  <si>
    <t>9901</t>
  </si>
  <si>
    <t>2024-01-09</t>
  </si>
  <si>
    <t>GOOGLE ADS</t>
  </si>
  <si>
    <t>3400.00</t>
  </si>
  <si>
    <t>STEAM GAMES</t>
  </si>
  <si>
    <t>59.99</t>
  </si>
  <si>
    <t>DELOITTE CONSULTING</t>
  </si>
  <si>
    <t>8500.00</t>
  </si>
  <si>
    <t>KLM AIRLINES</t>
  </si>
  <si>
    <t>540.00</t>
  </si>
  <si>
    <t>NOTION</t>
  </si>
  <si>
    <t>16.00</t>
  </si>
  <si>
    <t>IKEA</t>
  </si>
  <si>
    <t>1200.00</t>
  </si>
  <si>
    <t>2024-01-16</t>
  </si>
  <si>
    <t>ZOOM VIDEO COMM</t>
  </si>
  <si>
    <t>149.90</t>
  </si>
  <si>
    <t>STARBUCKS</t>
  </si>
  <si>
    <t>8.40</t>
  </si>
  <si>
    <t>FACEBOOK ADS</t>
  </si>
  <si>
    <t>2100.00</t>
  </si>
  <si>
    <t>DHL EXPRESS</t>
  </si>
  <si>
    <t>89.00</t>
  </si>
  <si>
    <t>MAILCHIMP</t>
  </si>
  <si>
    <t>299.00</t>
  </si>
  <si>
    <t>2024-01-21</t>
  </si>
  <si>
    <t>ALBERT HEIJN</t>
  </si>
  <si>
    <t>184.50</t>
  </si>
  <si>
    <t>Use Case 4 — AI-Assisted Forecasting</t>
  </si>
  <si>
    <t>24 months of historical revenue data — use AI to generate a 12-month forecast</t>
  </si>
  <si>
    <t>I have 24 months of monthly revenue data for a SaaS business. Please: (1) Identify any seasonality patterns or trends in the data, (2) Generate a 12-month forward forecast using an appropriate method (e.g. Prophet, exponential smoothing, or trend+seasonality decomposition), (3) Provide a 90% confidence interval for each forecasted month, (4) Highlight 3 key insights from the historical data that informed your forecast, (5) Suggest what assumptions a CFO should stress-test. Present results as a table with columns: Month, Forecast ($), Low ($), High ($), Notes.</t>
  </si>
  <si>
    <t>Metric</t>
  </si>
  <si>
    <t>Jan-22</t>
  </si>
  <si>
    <t>Feb-22</t>
  </si>
  <si>
    <t>Mar-22</t>
  </si>
  <si>
    <t>Apr-22</t>
  </si>
  <si>
    <t>May-22</t>
  </si>
  <si>
    <t>Jun-22</t>
  </si>
  <si>
    <t>Jul-22</t>
  </si>
  <si>
    <t>Aug-22</t>
  </si>
  <si>
    <t>Sep-22</t>
  </si>
  <si>
    <t>Oct-22</t>
  </si>
  <si>
    <t>Nov-22</t>
  </si>
  <si>
    <t>Dec-22</t>
  </si>
  <si>
    <t>← 2022 →</t>
  </si>
  <si>
    <t>Jan-23</t>
  </si>
  <si>
    <t>Feb-23</t>
  </si>
  <si>
    <t>Mar-23</t>
  </si>
  <si>
    <t>Apr-23</t>
  </si>
  <si>
    <t>May-23</t>
  </si>
  <si>
    <t>Jun-23</t>
  </si>
  <si>
    <t>Jul-23</t>
  </si>
  <si>
    <t>Aug-23</t>
  </si>
  <si>
    <t>Sep-23</t>
  </si>
  <si>
    <t>Oct-23</t>
  </si>
  <si>
    <t>Nov-23</t>
  </si>
  <si>
    <t>Dec-23</t>
  </si>
  <si>
    <t>Monthly Revenue ($) — 2022</t>
  </si>
  <si>
    <t>Monthly Revenue ($) — 2023</t>
  </si>
  <si>
    <t>YoY Growth</t>
  </si>
  <si>
    <t>New MRR ($) — 2022</t>
  </si>
  <si>
    <t>New MRR ($) — 2023</t>
  </si>
  <si>
    <t>Churn Rate (%) — 2022</t>
  </si>
  <si>
    <t>Churn Rate (%) — 2023</t>
  </si>
  <si>
    <t>Use Case 5 — Financial Data to CFO Dashboard</t>
  </si>
  <si>
    <t>SaaS FP&amp;A dataset — hand this to an LLM to generate an HTML dashboard</t>
  </si>
  <si>
    <t>Analyse this SaaS financial dataset and create an interactive HTML dashboard for a CFO. The dashboard should include: (1) A revenue vs target chart by month, (2) MRR growth trend with a trendline, (3) Gross margin % evolution, (4) Cash runway indicator (months remaining), (5) A traffic-light KPI summary table (Green/Amber/Red vs targets). Use a clean, professional design with a dark navy header. Make it a single self-contained HTML file.</t>
  </si>
  <si>
    <t>📈 MONTHLY P&amp;L AND KPI DATA (Jan–Dec 2023)</t>
  </si>
  <si>
    <t>Month</t>
  </si>
  <si>
    <t>Revenue ($)</t>
  </si>
  <si>
    <t>Target ($)</t>
  </si>
  <si>
    <t>Gross Profit ($)</t>
  </si>
  <si>
    <t>Gross Margin %</t>
  </si>
  <si>
    <t>OpEx ($)</t>
  </si>
  <si>
    <t>EBITDA ($)</t>
  </si>
  <si>
    <t>Cash ($)</t>
  </si>
  <si>
    <t>Headcount</t>
  </si>
  <si>
    <t>🎯 ANNUAL KPI TARGETS VS ACTUALS</t>
  </si>
  <si>
    <t>KPI</t>
  </si>
  <si>
    <t>Target</t>
  </si>
  <si>
    <t>Actual</t>
  </si>
  <si>
    <t>vs Target</t>
  </si>
  <si>
    <t>Annual Revenue</t>
  </si>
  <si>
    <t>$4,200,000</t>
  </si>
  <si>
    <t>$4,375,000</t>
  </si>
  <si>
    <t>+4.2%</t>
  </si>
  <si>
    <t>🟢 Above target</t>
  </si>
  <si>
    <t>Avg Gross Margin</t>
  </si>
  <si>
    <t>70.0%</t>
  </si>
  <si>
    <t>70.1%</t>
  </si>
  <si>
    <t>+0.1pp</t>
  </si>
  <si>
    <t>🟢 On target</t>
  </si>
  <si>
    <t>Annual EBITDA</t>
  </si>
  <si>
    <t>$250,000</t>
  </si>
  <si>
    <t>$216,700</t>
  </si>
  <si>
    <t>-13.3%</t>
  </si>
  <si>
    <t>🔴 Below target</t>
  </si>
  <si>
    <t>Dec Cash Balance</t>
  </si>
  <si>
    <t>$1,500,000</t>
  </si>
  <si>
    <t>$1,636,600</t>
  </si>
  <si>
    <t>+9.1%</t>
  </si>
  <si>
    <t>YE Headcount</t>
  </si>
  <si>
    <t>50</t>
  </si>
  <si>
    <t>49</t>
  </si>
  <si>
    <t>-1</t>
  </si>
  <si>
    <t>🟡 Near target</t>
  </si>
  <si>
    <t>Revenue per FTE</t>
  </si>
  <si>
    <t>$90,000</t>
  </si>
  <si>
    <t>$89,286</t>
  </si>
  <si>
    <t>-0.8%</t>
  </si>
  <si>
    <t>🤖 AI FORECAST OUTPUT — 12-Month Forward Forecast (Jan–Dec 2024)</t>
  </si>
  <si>
    <t>Method: Holt-Winters Triple Exponential Smoothing (additive trend + additive seasonality, period=12). Residual σ = $7,674. 90% CI widens with forecast horizon.</t>
  </si>
  <si>
    <t>Forecast ($)</t>
  </si>
  <si>
    <t>Low — 90% CI ($)</t>
  </si>
  <si>
    <t>High — 90% CI ($)</t>
  </si>
  <si>
    <t>CI Width ($)</t>
  </si>
  <si>
    <t>MoM Change</t>
  </si>
  <si>
    <t>—</t>
  </si>
  <si>
    <t>Seasonal uptick; strong Jan driven by budget renewals</t>
  </si>
  <si>
    <t>Historically weakest seasonality; slight dip vs Jan</t>
  </si>
  <si>
    <t>Q1 close; typical Q-end push lifts March above Feb</t>
  </si>
  <si>
    <t>First month crossing $500K; Q2 ramp begins</t>
  </si>
  <si>
    <t>Above-trend seasonal index (1.027); spring pipeline converts</t>
  </si>
  <si>
    <t>H1 peak; strongest non-Dec month (idx 1.050)</t>
  </si>
  <si>
    <t>Summer plateau begins; marginal dip vs Jun</t>
  </si>
  <si>
    <t>⚠️ Weakest seasonal month (idx 0.928); watch closely</t>
  </si>
  <si>
    <t>Strong Q3 recovery; post-summer pipeline opens</t>
  </si>
  <si>
    <t>Q4 ramp; consistent YoY acceleration in Oct</t>
  </si>
  <si>
    <t>Pre-year-end pipeline acceleration</t>
  </si>
  <si>
    <t>📈 Year-end peak; strongest seasonal month (idx 1.074)</t>
  </si>
  <si>
    <t>TOTAL 2024</t>
  </si>
  <si>
    <t>YoY growth vs 2023 actual ($4,375,000)</t>
  </si>
  <si>
    <t>🔍 3 KEY INSIGHTS THAT INFORMED THE FORECAST</t>
  </si>
  <si>
    <t>#</t>
  </si>
  <si>
    <t>Insight</t>
  </si>
  <si>
    <t>Evidence from Historical Data</t>
  </si>
  <si>
    <t>Forecast Implication</t>
  </si>
  <si>
    <t>Strong, consistent uptrend (+$11,308/month linear slope)</t>
  </si>
  <si>
    <t>Revenue grew 56.2% from 2022 to 2023 ($2.82M → $4.38M). Average MoM growth = +4.3%. The trend is the dominant signal.</t>
  </si>
  <si>
    <t>Holt-Winters trend component carries this forward, reaching $653K by Dec-24 — a plausible but decelerating growth rate as the base grows.</t>
  </si>
  <si>
    <t>Clear recurring seasonality: summer dip (Aug) and year-end surge (Dec)</t>
  </si>
  <si>
    <t>August is the weakest month both years (idx 0.928 = 7.2% below trend). December is the strongest (idx 1.074 = 7.4% above trend). The pattern is consistent enough to be structural.</t>
  </si>
  <si>
    <t>Forecast dips ~$4K in Aug vs Jul (summer trough) then surges +$35K in Dec vs Nov (year-end close). CFO should plan cash accordingly.</t>
  </si>
  <si>
    <t>Churn is declining — improving net retention quality</t>
  </si>
  <si>
    <t>Churn fell from ~2.1% avg (2022) to ~1.7% avg (2023), a ~8–12% YoY improvement each month. New MRR also grew 30%+ YoY. Net dollar retention is improving.</t>
  </si>
  <si>
    <t>Continued churn improvement is a tailwind baked into the trend. If churn stabilises at 1.4–1.6%, the forecast is conservative. If it reverses, downside risk materialises.</t>
  </si>
  <si>
    <t>⚠️ CFO STRESS-TEST ASSUMPTIONS</t>
  </si>
  <si>
    <t>Assumption</t>
  </si>
  <si>
    <t>Base Case</t>
  </si>
  <si>
    <t>Bear Scenario</t>
  </si>
  <si>
    <t>Bull Scenario</t>
  </si>
  <si>
    <t>Why it matters</t>
  </si>
  <si>
    <t>Monthly growth rate deceleration</t>
  </si>
  <si>
    <t>~4.3% MoM avg maintained</t>
  </si>
  <si>
    <t>Growth slows to 2–3% as market matures</t>
  </si>
  <si>
    <t>Growth re-accelerates to 5–6% (new product/market)</t>
  </si>
  <si>
    <t>Biggest single lever. A 1% shift in MoM growth changes FY24 by ~$300–400K.</t>
  </si>
  <si>
    <t>Churn rate trajectory</t>
  </si>
  <si>
    <t>Continues declining to ~1.3–1.4% by Dec-24</t>
  </si>
  <si>
    <t>Churn reverses / stabilises at 1.8–2.0% (product or competitive issue)</t>
  </si>
  <si>
    <t>Churn reaches &lt;1.0% (world-class NRR)</t>
  </si>
  <si>
    <t>Each 0.1% increase in monthly churn erodes ~$5–10K ARR per $1M revenue base.</t>
  </si>
  <si>
    <t>New MRR growth rate</t>
  </si>
  <si>
    <t>+30% YoY new MRR consistent with 2022→2023 trend</t>
  </si>
  <si>
    <t>Sales slowdown: new MRR flat or down 10–15%</t>
  </si>
  <si>
    <t>Sales acceleration: new MRR up 50%+ (new channel/geo)</t>
  </si>
  <si>
    <t>Revenue is built from expansion + new logo. If new MRR stalls, the trend assumption breaks.</t>
  </si>
  <si>
    <t>August seasonality depth</t>
  </si>
  <si>
    <t>~7% seasonal dip (consistent with 2022 &amp; 2023)</t>
  </si>
  <si>
    <t>Dip deepens to 10–12% (key renewals pushed to Q3)</t>
  </si>
  <si>
    <t>Dip narrows to 3–4% (summer pipeline managed better)</t>
  </si>
  <si>
    <t>August is a cash-planning risk. If a large renewal slips from Jun→Aug, Q3 will underperform.</t>
  </si>
  <si>
    <t>Macro/competitive disruption</t>
  </si>
  <si>
    <t>Existing trend holds (no major disruption)</t>
  </si>
  <si>
    <t>Competitor pressure or budget freezes cut new deals 20–30%</t>
  </si>
  <si>
    <t>AI-driven product differentiation re-accelerates growth</t>
  </si>
  <si>
    <t>Not captured in the model (no historical precedent). Requires scenario planning overlay.</t>
  </si>
  <si>
    <t>Turn #</t>
  </si>
  <si>
    <t>User Request</t>
  </si>
  <si>
    <t>Action Taken</t>
  </si>
  <si>
    <t>Details</t>
  </si>
  <si>
    <t>Outcome</t>
  </si>
  <si>
    <t>Analyse 24 months of SaaS revenue data and generate a 12-month forward forecast with 90% CI, key insights, and CFO stress-test assumptions.</t>
  </si>
  <si>
    <t>Built Holt-Winters forecast, 12-month table with 90% CI, 3 key insights panel, CFO stress-test table. Created Claude Log sheet.</t>
  </si>
  <si>
    <t>Method: Holt-Winters Triple Exponential Smoothing (additive trend + additive seasonality, period=12). Residual σ=$7,674. 90% CI uses ±z=1.645 * σ * sqrt(h). Key findings: linear trend +$11,308/mo, Aug weakest seasonal (idx 0.928), Dec strongest (1.074), 2022→2023 YoY +56.2%, churn declining ~10% YoY.</t>
  </si>
  <si>
    <t>12-month forecast table in rows 21–32, totals in row 33. FY24 forecast: $6,489,226 (+48.3% vs 2023). Insights in rows 36–39. Stress-test in rows 42–47.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</si>
</sst>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26" x14ac:knownFonts="1">
    <font>
      <sz val="11"/>
      <color theme="1"/>
      <name val="Calibri"/>
      <family val="2"/>
      <charset val="1"/>
    </font>
    <font>
      <b/>
      <sz val="14"/>
      <color rgb="FFFFFFFF"/>
      <name val="Arial"/>
      <charset val="1"/>
    </font>
    <font>
      <sz val="10"/>
      <color rgb="FFAAAAAA"/>
      <name val="Arial"/>
      <charset val="1"/>
    </font>
    <font>
      <b/>
      <sz val="10"/>
      <color rgb="FFFFFFFF"/>
      <name val="Arial"/>
      <charset val="1"/>
    </font>
    <font>
      <sz val="10"/>
      <color rgb="FF1B2A4A"/>
      <name val="Arial"/>
      <charset val="1"/>
    </font>
    <font>
      <b/>
      <sz val="9"/>
      <color rgb="FFFFFFFF"/>
      <name val="Arial"/>
      <charset val="1"/>
    </font>
    <font>
      <sz val="10"/>
      <color rgb="FF000000"/>
      <name val="Arial"/>
      <charset val="1"/>
    </font>
    <font>
      <b/>
      <sz val="9"/>
      <color rgb="FFAAAAAA"/>
      <name val="Arial"/>
      <charset val="1"/>
    </font>
    <font>
      <b/>
      <sz val="9"/>
      <color rgb="FF000000"/>
      <name val="Arial"/>
      <charset val="1"/>
    </font>
    <font>
      <sz val="9"/>
      <color rgb="FF000000"/>
      <name val="Arial"/>
      <charset val="1"/>
    </font>
    <font>
      <sz val="9"/>
      <color rgb="FF888888"/>
      <name val="Arial"/>
      <charset val="1"/>
    </font>
    <font>
      <b/>
      <sz val="13"/>
      <color rgb="FFFFFFFF"/>
      <name val="Calibri"/>
      <family val="2"/>
      <charset val="1"/>
    </font>
    <font>
      <sz val="11"/>
      <color rgb="FF595959"/>
      <name val="Calibri"/>
      <family val="2"/>
      <charset val="1"/>
    </font>
    <font>
      <sz val="9"/>
      <color rgb="FF595959"/>
      <name val="Calibri"/>
      <family val="2"/>
      <charset val="1"/>
    </font>
    <font>
      <i/>
      <sz val="9"/>
      <color rgb="FF595959"/>
      <name val="Calibri"/>
      <family val="2"/>
      <charset val="1"/>
    </font>
    <font>
      <b/>
      <sz val="11"/>
      <color rgb="FFFFFFFF"/>
      <name val="Calibri"/>
      <family val="2"/>
      <charset val="1"/>
    </font>
    <font>
      <sz val="11"/>
      <color rgb="FF000000"/>
      <name val="Calibri"/>
      <family val="2"/>
      <charset val="1"/>
    </font>
    <font>
      <sz val="11"/>
      <color rgb="FFC00000"/>
      <name val="Calibri"/>
      <family val="2"/>
      <charset val="1"/>
    </font>
    <font>
      <sz val="9"/>
      <color rgb="FFC00000"/>
      <name val="Calibri"/>
      <family val="2"/>
      <charset val="1"/>
    </font>
    <font>
      <b/>
      <sz val="11"/>
      <color rgb="FF0070C0"/>
      <name val="Calibri"/>
      <family val="2"/>
      <charset val="1"/>
    </font>
    <font>
      <b/>
      <sz val="9"/>
      <color rgb="FF0070C0"/>
      <name val="Calibri"/>
      <family val="2"/>
      <charset val="1"/>
    </font>
    <font>
      <b/>
      <sz val="11"/>
      <color theme="1"/>
      <name val="Calibri"/>
      <family val="2"/>
      <charset val="1"/>
    </font>
    <font>
      <b/>
      <sz val="9"/>
      <color rgb="FF595959"/>
      <name val="Calibri"/>
      <family val="2"/>
      <charset val="1"/>
    </font>
    <font>
      <b/>
      <sz val="12"/>
      <color rgb="FFFFFFFF"/>
      <name val="Calibri"/>
      <family val="2"/>
      <charset val="1"/>
    </font>
    <font>
      <sz val="9"/>
      <color theme="1"/>
      <name val="Calibri"/>
      <family val="2"/>
      <charset val="1"/>
    </font>
    <font>
      <b/>
      <sz val="9"/>
      <color theme="1"/>
      <name val="Calibri"/>
      <family val="2"/>
      <charset val="1"/>
    </font>
  </fonts>
  <fills count="21">
    <fill>
      <patternFill patternType="none"/>
    </fill>
    <fill>
      <patternFill patternType="gray125"/>
    </fill>
    <fill>
      <patternFill patternType="solid">
        <fgColor rgb="FF1B2A4A"/>
        <bgColor rgb="FF003366"/>
      </patternFill>
    </fill>
    <fill>
      <patternFill patternType="solid">
        <fgColor rgb="FF2E4A7A"/>
        <bgColor rgb="FF1B2A4A"/>
      </patternFill>
    </fill>
    <fill>
      <patternFill patternType="solid">
        <fgColor rgb="FFD6E4F7"/>
        <bgColor rgb="FFD6F5E3"/>
      </patternFill>
    </fill>
    <fill>
      <patternFill patternType="solid">
        <fgColor rgb="FF1A7A4A"/>
        <bgColor rgb="FF008000"/>
      </patternFill>
    </fill>
    <fill>
      <patternFill patternType="solid">
        <fgColor rgb="FF2980B9"/>
        <bgColor rgb="FF0066CC"/>
      </patternFill>
    </fill>
    <fill>
      <patternFill patternType="solid">
        <fgColor rgb="FFFFFFFF"/>
        <bgColor rgb="FFF2F4F7"/>
      </patternFill>
    </fill>
    <fill>
      <patternFill patternType="solid">
        <fgColor rgb="FFF2F4F7"/>
        <bgColor rgb="FFFFFFFF"/>
      </patternFill>
    </fill>
    <fill>
      <patternFill patternType="solid">
        <fgColor rgb="FFE67E22"/>
        <bgColor rgb="FFFF9900"/>
      </patternFill>
    </fill>
    <fill>
      <patternFill patternType="solid">
        <fgColor rgb="FFFDEBD0"/>
        <bgColor rgb="FFFADBD8"/>
      </patternFill>
    </fill>
    <fill>
      <patternFill patternType="solid">
        <fgColor rgb="FFD6F5E3"/>
        <bgColor rgb="FFCCFFFF"/>
      </patternFill>
    </fill>
    <fill>
      <patternFill patternType="solid">
        <fgColor rgb="FFFADBD8"/>
        <bgColor rgb="FFFDEBD0"/>
      </patternFill>
    </fill>
    <fill>
      <patternFill patternType="solid">
        <fgColor rgb="FF1F3864"/>
        <bgColor indexed="64"/>
      </patternFill>
    </fill>
    <fill>
      <patternFill patternType="solid">
        <fgColor rgb="FF2E75B6"/>
        <bgColor indexed="64"/>
      </patternFill>
    </fill>
    <fill>
      <patternFill patternType="solid">
        <fgColor rgb="FFD6E4F0"/>
        <bgColor indexed="64"/>
      </patternFill>
    </fill>
    <fill>
      <patternFill patternType="solid">
        <fgColor rgb="FFBDD7EE"/>
        <bgColor indexed="64"/>
      </patternFill>
    </fill>
    <fill>
      <patternFill patternType="solid">
        <fgColor rgb="FFF2DCDB"/>
        <bgColor indexed="64"/>
      </patternFill>
    </fill>
    <fill>
      <patternFill patternType="solid">
        <fgColor rgb="FFF5F9FD"/>
        <bgColor indexed="64"/>
      </patternFill>
    </fill>
    <fill>
      <patternFill patternType="solid">
        <fgColor rgb="FFFFFFFF"/>
        <bgColor indexed="64"/>
      </patternFill>
    </fill>
    <fill>
      <patternFill patternType="solid">
        <fgColor rgb="FFFFF2CC"/>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7">
    <xf numFmtId="0" fontId="0" fillId="0" borderId="0" xfId="0"/>
    <xf numFmtId="0" fontId="3" fillId="2"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4" fontId="6" fillId="7" borderId="1" xfId="0" applyNumberFormat="1" applyFont="1" applyFill="1" applyBorder="1" applyAlignment="1">
      <alignment horizontal="left" vertical="center" wrapText="1"/>
    </xf>
    <xf numFmtId="0" fontId="6" fillId="8" borderId="1" xfId="0" applyFont="1" applyFill="1" applyBorder="1" applyAlignment="1">
      <alignment horizontal="left" vertical="center" wrapText="1"/>
    </xf>
    <xf numFmtId="4" fontId="6" fillId="8" borderId="1" xfId="0" applyNumberFormat="1" applyFont="1" applyFill="1" applyBorder="1" applyAlignment="1">
      <alignment horizontal="left" vertical="center" wrapText="1"/>
    </xf>
    <xf numFmtId="0" fontId="6" fillId="10" borderId="1" xfId="0" applyFont="1" applyFill="1" applyBorder="1" applyAlignment="1">
      <alignment horizontal="left" vertical="center" wrapText="1"/>
    </xf>
    <xf numFmtId="4" fontId="6" fillId="10" borderId="1" xfId="0" applyNumberFormat="1" applyFont="1" applyFill="1" applyBorder="1" applyAlignment="1">
      <alignment horizontal="left"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3" fontId="9" fillId="4" borderId="1" xfId="0" applyNumberFormat="1" applyFont="1" applyFill="1" applyBorder="1" applyAlignment="1">
      <alignment horizontal="center" vertical="center" wrapText="1"/>
    </xf>
    <xf numFmtId="0" fontId="8" fillId="11" borderId="1" xfId="0" applyFont="1" applyFill="1" applyBorder="1" applyAlignment="1">
      <alignment horizontal="left" vertical="center" wrapText="1"/>
    </xf>
    <xf numFmtId="3" fontId="9" fillId="11" borderId="1" xfId="0" applyNumberFormat="1" applyFont="1" applyFill="1" applyBorder="1" applyAlignment="1">
      <alignment horizontal="center" vertical="center" wrapText="1"/>
    </xf>
    <xf numFmtId="0" fontId="10" fillId="7" borderId="1" xfId="0" applyFont="1" applyFill="1" applyBorder="1" applyAlignment="1">
      <alignment horizontal="left" vertical="center" wrapText="1"/>
    </xf>
    <xf numFmtId="164" fontId="10" fillId="7" borderId="1" xfId="0" applyNumberFormat="1" applyFont="1" applyFill="1" applyBorder="1" applyAlignment="1">
      <alignment horizontal="center" vertical="center" wrapText="1"/>
    </xf>
    <xf numFmtId="0" fontId="8" fillId="7" borderId="1" xfId="0" applyFont="1" applyFill="1" applyBorder="1" applyAlignment="1">
      <alignment horizontal="left" vertical="center" wrapText="1"/>
    </xf>
    <xf numFmtId="3" fontId="9" fillId="7" borderId="1" xfId="0" applyNumberFormat="1" applyFont="1" applyFill="1" applyBorder="1" applyAlignment="1">
      <alignment horizontal="center" vertical="center" wrapText="1"/>
    </xf>
    <xf numFmtId="0" fontId="8" fillId="8" borderId="1" xfId="0" applyFont="1" applyFill="1" applyBorder="1" applyAlignment="1">
      <alignment horizontal="left" vertical="center" wrapText="1"/>
    </xf>
    <xf numFmtId="3" fontId="9" fillId="8"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9" fillId="11"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3" fontId="6" fillId="7" borderId="1" xfId="0" applyNumberFormat="1" applyFont="1" applyFill="1" applyBorder="1" applyAlignment="1">
      <alignment horizontal="center" vertical="center" wrapText="1"/>
    </xf>
    <xf numFmtId="164" fontId="6" fillId="7"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3" fontId="6" fillId="8" borderId="1" xfId="0" applyNumberFormat="1" applyFont="1" applyFill="1" applyBorder="1" applyAlignment="1">
      <alignment horizontal="center" vertical="center" wrapText="1"/>
    </xf>
    <xf numFmtId="164" fontId="6" fillId="8" borderId="1" xfId="0" applyNumberFormat="1"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11" fillId="13" borderId="0" xfId="0" applyFont="1" applyFill="1"/>
    <xf numFmtId="0" fontId="0" fillId="13" borderId="0" xfId="0" applyFill="1"/>
    <xf numFmtId="0" fontId="15" fillId="14" borderId="0" xfId="0" applyFont="1" applyFill="1" applyAlignment="1">
      <alignment horizontal="center"/>
    </xf>
    <xf numFmtId="0" fontId="21" fillId="0" borderId="0" xfId="0" applyFont="1"/>
    <xf numFmtId="0" fontId="21" fillId="15" borderId="0" xfId="0" applyFont="1" applyFill="1"/>
    <xf numFmtId="165" fontId="21" fillId="15" borderId="0" xfId="0" applyNumberFormat="1" applyFont="1" applyFill="1"/>
    <xf numFmtId="164" fontId="21" fillId="15" borderId="0" xfId="0" applyNumberFormat="1" applyFont="1" applyFill="1"/>
    <xf numFmtId="0" fontId="22" fillId="15" borderId="0" xfId="0" applyFont="1" applyFill="1"/>
    <xf numFmtId="0" fontId="23" fillId="13" borderId="0" xfId="0" applyFont="1" applyFill="1"/>
    <xf numFmtId="0" fontId="21" fillId="16" borderId="0" xfId="0" applyFont="1" applyFill="1"/>
    <xf numFmtId="0" fontId="21" fillId="0" borderId="0" xfId="0" applyFont="1" applyAlignment="1">
      <alignment horizontal="center"/>
    </xf>
    <xf numFmtId="0" fontId="21" fillId="17" borderId="0" xfId="0" applyFont="1" applyFill="1"/>
    <xf numFmtId="0" fontId="21" fillId="17" borderId="0" xfId="0" applyFont="1" applyFill="1" applyAlignment="1">
      <alignment horizontal="center"/>
    </xf>
    <xf numFmtId="0" fontId="25" fillId="17" borderId="0" xfId="0" applyFont="1" applyFill="1" applyAlignment="1">
      <alignment horizontal="center"/>
    </xf>
    <xf numFmtId="17" fontId="0" fillId="18" borderId="0" xfId="0" applyNumberFormat="1" applyFill="1" applyAlignment="1">
      <alignment horizontal="left"/>
    </xf>
    <xf numFmtId="165" fontId="16" fillId="18" borderId="0" xfId="0" applyNumberFormat="1" applyFont="1" applyFill="1"/>
    <xf numFmtId="165" fontId="12" fillId="18" borderId="0" xfId="0" applyNumberFormat="1" applyFont="1" applyFill="1"/>
    <xf numFmtId="0" fontId="12" fillId="18" borderId="0" xfId="0" applyFont="1" applyFill="1" applyAlignment="1">
      <alignment horizontal="center"/>
    </xf>
    <xf numFmtId="17" fontId="0" fillId="19" borderId="0" xfId="0" applyNumberFormat="1" applyFill="1"/>
    <xf numFmtId="165" fontId="0" fillId="19" borderId="0" xfId="0" applyNumberFormat="1" applyFill="1"/>
    <xf numFmtId="165" fontId="12" fillId="19" borderId="0" xfId="0" applyNumberFormat="1" applyFont="1" applyFill="1"/>
    <xf numFmtId="164" fontId="12" fillId="19" borderId="0" xfId="0" applyNumberFormat="1" applyFont="1" applyFill="1"/>
    <xf numFmtId="17" fontId="0" fillId="18" borderId="0" xfId="0" applyNumberFormat="1" applyFill="1"/>
    <xf numFmtId="165" fontId="0" fillId="18" borderId="0" xfId="0" applyNumberFormat="1" applyFill="1"/>
    <xf numFmtId="164" fontId="12" fillId="18" borderId="0" xfId="0" applyNumberFormat="1" applyFont="1" applyFill="1"/>
    <xf numFmtId="165" fontId="19" fillId="19" borderId="0" xfId="0" applyNumberFormat="1" applyFont="1" applyFill="1"/>
    <xf numFmtId="17" fontId="0" fillId="20" borderId="0" xfId="0" applyNumberFormat="1" applyFill="1"/>
    <xf numFmtId="165" fontId="17" fillId="20" borderId="0" xfId="0" applyNumberFormat="1" applyFont="1" applyFill="1"/>
    <xf numFmtId="165" fontId="12" fillId="20" borderId="0" xfId="0" applyNumberFormat="1" applyFont="1" applyFill="1"/>
    <xf numFmtId="164" fontId="17" fillId="20" borderId="0" xfId="0" applyNumberFormat="1" applyFont="1" applyFill="1"/>
    <xf numFmtId="0" fontId="13" fillId="18" borderId="0" xfId="0" applyFont="1" applyFill="1" applyAlignment="1">
      <alignment wrapText="1"/>
    </xf>
    <xf numFmtId="0" fontId="13" fillId="19" borderId="0" xfId="0" applyFont="1" applyFill="1" applyAlignment="1">
      <alignment wrapText="1"/>
    </xf>
    <xf numFmtId="0" fontId="18" fillId="20" borderId="0" xfId="0" applyFont="1" applyFill="1" applyAlignment="1">
      <alignment wrapText="1"/>
    </xf>
    <xf numFmtId="0" fontId="20" fillId="19" borderId="0" xfId="0" applyFont="1" applyFill="1" applyAlignment="1">
      <alignment wrapText="1"/>
    </xf>
    <xf numFmtId="0" fontId="24" fillId="0" borderId="0" xfId="0" applyFont="1" applyAlignment="1">
      <alignment wrapText="1"/>
    </xf>
    <xf numFmtId="0" fontId="14" fillId="0" borderId="0" xfId="0" applyFont="1" applyAlignment="1">
      <alignment wrapText="1"/>
    </xf>
    <xf numFmtId="0" fontId="0" fillId="0" borderId="0" xfId="0" applyAlignment="1">
      <alignment wrapText="1"/>
    </xf>
    <xf numFmtId="0" fontId="15" fillId="13" borderId="0" xfId="0" applyFont="1" applyFill="1"/>
    <xf numFmtId="14" fontId="0" fillId="0" borderId="0" xfId="0" applyNumberFormat="1" applyAlignment="1">
      <alignment wrapText="1"/>
    </xf>
    <xf numFmtId="0" fontId="3" fillId="6" borderId="0" xfId="0" applyFont="1" applyFill="1" applyAlignment="1">
      <alignment horizontal="center" vertical="center" wrapText="1"/>
    </xf>
    <xf numFmtId="0" fontId="3" fillId="9" borderId="0" xfId="0" applyFont="1" applyFill="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4" borderId="0" xfId="0" applyFont="1" applyFill="1" applyAlignment="1">
      <alignment horizontal="left" vertical="center" wrapText="1"/>
    </xf>
    <xf numFmtId="0" fontId="5"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7A4A"/>
      <rgbColor rgb="FFCCCCCC"/>
      <rgbColor rgb="FF888888"/>
      <rgbColor rgb="FF9999FF"/>
      <rgbColor rgb="FF993366"/>
      <rgbColor rgb="FFFDEBD0"/>
      <rgbColor rgb="FFF2F4F7"/>
      <rgbColor rgb="FF660066"/>
      <rgbColor rgb="FFFF8080"/>
      <rgbColor rgb="FF0066CC"/>
      <rgbColor rgb="FFD6E4F7"/>
      <rgbColor rgb="FF000080"/>
      <rgbColor rgb="FFFF00FF"/>
      <rgbColor rgb="FFFFFF00"/>
      <rgbColor rgb="FF00FFFF"/>
      <rgbColor rgb="FF800080"/>
      <rgbColor rgb="FF800000"/>
      <rgbColor rgb="FF2980B9"/>
      <rgbColor rgb="FF0000FF"/>
      <rgbColor rgb="FF00CCFF"/>
      <rgbColor rgb="FFCCFFFF"/>
      <rgbColor rgb="FFD6F5E3"/>
      <rgbColor rgb="FFFFFF99"/>
      <rgbColor rgb="FF99CCFF"/>
      <rgbColor rgb="FFFF99CC"/>
      <rgbColor rgb="FFCC99FF"/>
      <rgbColor rgb="FFFADBD8"/>
      <rgbColor rgb="FF3366FF"/>
      <rgbColor rgb="FF33CCCC"/>
      <rgbColor rgb="FF99CC00"/>
      <rgbColor rgb="FFFFCC00"/>
      <rgbColor rgb="FFFF9900"/>
      <rgbColor rgb="FFE67E22"/>
      <rgbColor rgb="FF666699"/>
      <rgbColor rgb="FFAAAAAA"/>
      <rgbColor rgb="FF003366"/>
      <rgbColor rgb="FF339966"/>
      <rgbColor rgb="FF003300"/>
      <rgbColor rgb="FF333300"/>
      <rgbColor rgb="FF993300"/>
      <rgbColor rgb="FF993366"/>
      <rgbColor rgb="FF2E4A7A"/>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19</xdr:col>
      <xdr:colOff>85997</xdr:colOff>
      <xdr:row>1</xdr:row>
      <xdr:rowOff>167640</xdr:rowOff>
    </xdr:from>
    <xdr:to>
      <xdr:col>38</xdr:col>
      <xdr:colOff>287667</xdr:colOff>
      <xdr:row>40</xdr:row>
      <xdr:rowOff>14349</xdr:rowOff>
    </xdr:to>
    <xdr:pic>
      <xdr:nvPicPr>
        <xdr:cNvPr id="3" name="Picture 2">
          <a:extLst>
            <a:ext uri="{FF2B5EF4-FFF2-40B4-BE49-F238E27FC236}">
              <a16:creationId xmlns:a16="http://schemas.microsoft.com/office/drawing/2014/main" id="{1B8B8AA9-B409-C104-E124-B9CF8D8577C8}"/>
            </a:ext>
          </a:extLst>
        </xdr:cNvPr>
        <xdr:cNvPicPr>
          <a:picLocks noChangeAspect="1"/>
        </xdr:cNvPicPr>
      </xdr:nvPicPr>
      <xdr:blipFill>
        <a:blip xmlns:r="http://schemas.openxmlformats.org/officeDocument/2006/relationships" r:embed="rId1"/>
        <a:stretch>
          <a:fillRect/>
        </a:stretch>
      </xdr:blipFill>
      <xdr:spPr>
        <a:xfrm>
          <a:off x="11668397" y="350520"/>
          <a:ext cx="11784070" cy="6979029"/>
        </a:xfrm>
        <a:prstGeom prst="rect">
          <a:avLst/>
        </a:prstGeom>
      </xdr:spPr>
    </xdr:pic>
    <xdr:clientData/>
  </xdr:twoCellAnchor>
  <xdr:twoCellAnchor editAs="oneCell">
    <xdr:from>
      <xdr:col>1</xdr:col>
      <xdr:colOff>131717</xdr:colOff>
      <xdr:row>7</xdr:row>
      <xdr:rowOff>11430</xdr:rowOff>
    </xdr:from>
    <xdr:to>
      <xdr:col>19</xdr:col>
      <xdr:colOff>104670</xdr:colOff>
      <xdr:row>44</xdr:row>
      <xdr:rowOff>40993</xdr:rowOff>
    </xdr:to>
    <xdr:pic>
      <xdr:nvPicPr>
        <xdr:cNvPr id="4" name="Picture 3">
          <a:extLst>
            <a:ext uri="{FF2B5EF4-FFF2-40B4-BE49-F238E27FC236}">
              <a16:creationId xmlns:a16="http://schemas.microsoft.com/office/drawing/2014/main" id="{9504023F-431F-58A2-3C82-A9C2194DCF90}"/>
            </a:ext>
          </a:extLst>
        </xdr:cNvPr>
        <xdr:cNvPicPr>
          <a:picLocks noChangeAspect="1"/>
        </xdr:cNvPicPr>
      </xdr:nvPicPr>
      <xdr:blipFill>
        <a:blip xmlns:r="http://schemas.openxmlformats.org/officeDocument/2006/relationships" r:embed="rId2"/>
        <a:stretch>
          <a:fillRect/>
        </a:stretch>
      </xdr:blipFill>
      <xdr:spPr>
        <a:xfrm>
          <a:off x="741317" y="1344930"/>
          <a:ext cx="10945753" cy="7078063"/>
        </a:xfrm>
        <a:prstGeom prst="rect">
          <a:avLst/>
        </a:prstGeom>
      </xdr:spPr>
    </xdr:pic>
    <xdr:clientData/>
  </xdr:twoCellAnchor>
  <xdr:twoCellAnchor editAs="oneCell">
    <xdr:from>
      <xdr:col>19</xdr:col>
      <xdr:colOff>396240</xdr:colOff>
      <xdr:row>42</xdr:row>
      <xdr:rowOff>0</xdr:rowOff>
    </xdr:from>
    <xdr:to>
      <xdr:col>38</xdr:col>
      <xdr:colOff>123659</xdr:colOff>
      <xdr:row>82</xdr:row>
      <xdr:rowOff>76200</xdr:rowOff>
    </xdr:to>
    <xdr:pic>
      <xdr:nvPicPr>
        <xdr:cNvPr id="5" name="Picture 4">
          <a:extLst>
            <a:ext uri="{FF2B5EF4-FFF2-40B4-BE49-F238E27FC236}">
              <a16:creationId xmlns:a16="http://schemas.microsoft.com/office/drawing/2014/main" id="{45642B08-388C-ABE3-BC12-DA0D079FD575}"/>
            </a:ext>
          </a:extLst>
        </xdr:cNvPr>
        <xdr:cNvPicPr>
          <a:picLocks noChangeAspect="1"/>
        </xdr:cNvPicPr>
      </xdr:nvPicPr>
      <xdr:blipFill>
        <a:blip xmlns:r="http://schemas.openxmlformats.org/officeDocument/2006/relationships" r:embed="rId3"/>
        <a:stretch>
          <a:fillRect/>
        </a:stretch>
      </xdr:blipFill>
      <xdr:spPr>
        <a:xfrm>
          <a:off x="11978640" y="8001000"/>
          <a:ext cx="11309819" cy="7696200"/>
        </a:xfrm>
        <a:prstGeom prst="rect">
          <a:avLst/>
        </a:prstGeom>
      </xdr:spPr>
    </xdr:pic>
    <xdr:clientData/>
  </xdr:twoCellAnchor>
  <xdr:twoCellAnchor editAs="oneCell">
    <xdr:from>
      <xdr:col>41</xdr:col>
      <xdr:colOff>0</xdr:colOff>
      <xdr:row>1</xdr:row>
      <xdr:rowOff>152400</xdr:rowOff>
    </xdr:from>
    <xdr:to>
      <xdr:col>62</xdr:col>
      <xdr:colOff>190500</xdr:colOff>
      <xdr:row>49</xdr:row>
      <xdr:rowOff>44376</xdr:rowOff>
    </xdr:to>
    <xdr:pic>
      <xdr:nvPicPr>
        <xdr:cNvPr id="6" name="Picture 5">
          <a:extLst>
            <a:ext uri="{FF2B5EF4-FFF2-40B4-BE49-F238E27FC236}">
              <a16:creationId xmlns:a16="http://schemas.microsoft.com/office/drawing/2014/main" id="{40471266-2972-D545-01CF-898AEA5D01C9}"/>
            </a:ext>
          </a:extLst>
        </xdr:cNvPr>
        <xdr:cNvPicPr>
          <a:picLocks noChangeAspect="1"/>
        </xdr:cNvPicPr>
      </xdr:nvPicPr>
      <xdr:blipFill>
        <a:blip xmlns:r="http://schemas.openxmlformats.org/officeDocument/2006/relationships" r:embed="rId4"/>
        <a:stretch>
          <a:fillRect/>
        </a:stretch>
      </xdr:blipFill>
      <xdr:spPr>
        <a:xfrm>
          <a:off x="24993600" y="342900"/>
          <a:ext cx="12992100" cy="9035976"/>
        </a:xfrm>
        <a:prstGeom prst="rect">
          <a:avLst/>
        </a:prstGeom>
      </xdr:spPr>
    </xdr:pic>
    <xdr:clientData/>
  </xdr:twoCellAnchor>
  <xdr:twoCellAnchor editAs="oneCell">
    <xdr:from>
      <xdr:col>65</xdr:col>
      <xdr:colOff>495300</xdr:colOff>
      <xdr:row>2</xdr:row>
      <xdr:rowOff>106680</xdr:rowOff>
    </xdr:from>
    <xdr:to>
      <xdr:col>85</xdr:col>
      <xdr:colOff>495300</xdr:colOff>
      <xdr:row>47</xdr:row>
      <xdr:rowOff>141513</xdr:rowOff>
    </xdr:to>
    <xdr:pic>
      <xdr:nvPicPr>
        <xdr:cNvPr id="7" name="Picture 6">
          <a:extLst>
            <a:ext uri="{FF2B5EF4-FFF2-40B4-BE49-F238E27FC236}">
              <a16:creationId xmlns:a16="http://schemas.microsoft.com/office/drawing/2014/main" id="{B359A543-C403-6880-AF9D-C1AC8FA4ECF5}"/>
            </a:ext>
          </a:extLst>
        </xdr:cNvPr>
        <xdr:cNvPicPr>
          <a:picLocks noChangeAspect="1"/>
        </xdr:cNvPicPr>
      </xdr:nvPicPr>
      <xdr:blipFill>
        <a:blip xmlns:r="http://schemas.openxmlformats.org/officeDocument/2006/relationships" r:embed="rId5"/>
        <a:stretch>
          <a:fillRect/>
        </a:stretch>
      </xdr:blipFill>
      <xdr:spPr>
        <a:xfrm>
          <a:off x="40119300" y="487680"/>
          <a:ext cx="12192000" cy="8607333"/>
        </a:xfrm>
        <a:prstGeom prst="rect">
          <a:avLst/>
        </a:prstGeom>
      </xdr:spPr>
    </xdr:pic>
    <xdr:clientData/>
  </xdr:twoCellAnchor>
  <xdr:twoCellAnchor editAs="oneCell">
    <xdr:from>
      <xdr:col>41</xdr:col>
      <xdr:colOff>53340</xdr:colOff>
      <xdr:row>58</xdr:row>
      <xdr:rowOff>121920</xdr:rowOff>
    </xdr:from>
    <xdr:to>
      <xdr:col>65</xdr:col>
      <xdr:colOff>228600</xdr:colOff>
      <xdr:row>112</xdr:row>
      <xdr:rowOff>71034</xdr:rowOff>
    </xdr:to>
    <xdr:pic>
      <xdr:nvPicPr>
        <xdr:cNvPr id="8" name="Picture 7">
          <a:extLst>
            <a:ext uri="{FF2B5EF4-FFF2-40B4-BE49-F238E27FC236}">
              <a16:creationId xmlns:a16="http://schemas.microsoft.com/office/drawing/2014/main" id="{9625155D-EC8E-14D3-6CB3-1AF5FADDEB65}"/>
            </a:ext>
          </a:extLst>
        </xdr:cNvPr>
        <xdr:cNvPicPr>
          <a:picLocks noChangeAspect="1"/>
        </xdr:cNvPicPr>
      </xdr:nvPicPr>
      <xdr:blipFill>
        <a:blip xmlns:r="http://schemas.openxmlformats.org/officeDocument/2006/relationships" r:embed="rId6"/>
        <a:stretch>
          <a:fillRect/>
        </a:stretch>
      </xdr:blipFill>
      <xdr:spPr>
        <a:xfrm>
          <a:off x="25046940" y="11170920"/>
          <a:ext cx="14805660" cy="1023611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4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2111C2-BCD1-46B9-AD54-7803B85782C8}">
  <we:reference id="wa200010725" version="1.0.0.1" store="en-US" storeType="OMEX"/>
  <we:alternateReferences>
    <we:reference id="WA200010725" version="1.0.0.1" store="" storeType="OMEX"/>
  </we:alternateReferences>
  <we:properties>
    <we:property name="claude.fileId" value="&quot;b8fba649-b5c1-4b8d-a99c-8a5ba26bba76&quot;"/>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6AB5-8199-40B6-B88A-FA546AA889DE}">
  <dimension ref="A1:F2"/>
  <sheetViews>
    <sheetView workbookViewId="0">
      <selection activeCell="D12" sqref="D12"/>
    </sheetView>
  </sheetViews>
  <sheetFormatPr defaultRowHeight="15" x14ac:dyDescent="0.25"/>
  <cols>
    <col min="1" max="1" width="7.5703125" customWidth="1"/>
    <col min="2" max="2" width="15.28515625" customWidth="1"/>
    <col min="3" max="3" width="41.85546875" customWidth="1"/>
    <col min="4" max="4" width="34.28515625" customWidth="1"/>
    <col min="5" max="5" width="72.42578125" customWidth="1"/>
    <col min="6" max="6" width="41.85546875" customWidth="1"/>
  </cols>
  <sheetData>
    <row r="1" spans="1:6" ht="21.95" customHeight="1" x14ac:dyDescent="0.25">
      <c r="A1" s="68" t="s">
        <v>325</v>
      </c>
      <c r="B1" s="68" t="s">
        <v>6</v>
      </c>
      <c r="C1" s="68" t="s">
        <v>326</v>
      </c>
      <c r="D1" s="68" t="s">
        <v>327</v>
      </c>
      <c r="E1" s="68" t="s">
        <v>328</v>
      </c>
      <c r="F1" s="68" t="s">
        <v>329</v>
      </c>
    </row>
    <row r="2" spans="1:6" ht="60" customHeight="1" x14ac:dyDescent="0.25">
      <c r="A2" s="67">
        <v>1</v>
      </c>
      <c r="B2" s="69">
        <v>46180</v>
      </c>
      <c r="C2" s="67" t="s">
        <v>330</v>
      </c>
      <c r="D2" s="67" t="s">
        <v>331</v>
      </c>
      <c r="E2" s="67" t="s">
        <v>332</v>
      </c>
      <c r="F2" s="67" t="s">
        <v>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opLeftCell="A2" zoomScale="85" zoomScaleNormal="85" workbookViewId="0">
      <selection activeCell="M26" sqref="M26"/>
    </sheetView>
  </sheetViews>
  <sheetFormatPr defaultColWidth="8.7109375" defaultRowHeight="15" x14ac:dyDescent="0.25"/>
  <cols>
    <col min="1" max="1" width="14" customWidth="1"/>
    <col min="2" max="2" width="30" customWidth="1"/>
    <col min="3" max="5" width="15" customWidth="1"/>
    <col min="6" max="6" width="20" customWidth="1"/>
  </cols>
  <sheetData>
    <row r="1" spans="1:6" ht="36" customHeight="1" x14ac:dyDescent="0.25">
      <c r="A1" s="72" t="s">
        <v>0</v>
      </c>
      <c r="B1" s="72"/>
      <c r="C1" s="72"/>
      <c r="D1" s="72"/>
      <c r="E1" s="72"/>
      <c r="F1" s="72"/>
    </row>
    <row r="2" spans="1:6" ht="21.75" customHeight="1" x14ac:dyDescent="0.25">
      <c r="A2" s="73" t="s">
        <v>1</v>
      </c>
      <c r="B2" s="73"/>
      <c r="C2" s="73"/>
      <c r="D2" s="73"/>
      <c r="E2" s="73"/>
      <c r="F2" s="73"/>
    </row>
    <row r="3" spans="1:6" ht="18" customHeight="1" x14ac:dyDescent="0.25">
      <c r="A3" s="74" t="s">
        <v>2</v>
      </c>
      <c r="B3" s="74"/>
      <c r="C3" s="74"/>
      <c r="D3" s="74"/>
      <c r="E3" s="74"/>
      <c r="F3" s="74"/>
    </row>
    <row r="4" spans="1:6" ht="72" customHeight="1" x14ac:dyDescent="0.25">
      <c r="A4" s="75" t="s">
        <v>3</v>
      </c>
      <c r="B4" s="75"/>
      <c r="C4" s="75"/>
      <c r="D4" s="75"/>
      <c r="E4" s="75"/>
      <c r="F4" s="75"/>
    </row>
    <row r="5" spans="1:6" ht="18" customHeight="1" x14ac:dyDescent="0.25">
      <c r="A5" s="76" t="s">
        <v>4</v>
      </c>
      <c r="B5" s="76"/>
      <c r="C5" s="76"/>
      <c r="D5" s="76"/>
      <c r="E5" s="76"/>
      <c r="F5" s="76"/>
    </row>
    <row r="6" spans="1:6" ht="19.5" customHeight="1" x14ac:dyDescent="0.25">
      <c r="A6" s="70" t="s">
        <v>5</v>
      </c>
      <c r="B6" s="70"/>
      <c r="C6" s="70"/>
      <c r="D6" s="70"/>
      <c r="E6" s="70"/>
    </row>
    <row r="7" spans="1:6" x14ac:dyDescent="0.25">
      <c r="A7" s="1" t="s">
        <v>6</v>
      </c>
      <c r="B7" s="1" t="s">
        <v>7</v>
      </c>
      <c r="C7" s="1" t="s">
        <v>8</v>
      </c>
      <c r="D7" s="1" t="s">
        <v>9</v>
      </c>
      <c r="E7" s="1" t="s">
        <v>10</v>
      </c>
    </row>
    <row r="8" spans="1:6" ht="25.5" x14ac:dyDescent="0.25">
      <c r="A8" s="2" t="s">
        <v>11</v>
      </c>
      <c r="B8" s="2" t="s">
        <v>12</v>
      </c>
      <c r="C8" s="3">
        <v>-1250</v>
      </c>
      <c r="D8" s="2" t="s">
        <v>13</v>
      </c>
      <c r="E8" s="2" t="s">
        <v>14</v>
      </c>
    </row>
    <row r="9" spans="1:6" ht="25.5" x14ac:dyDescent="0.25">
      <c r="A9" s="4" t="s">
        <v>15</v>
      </c>
      <c r="B9" s="4" t="s">
        <v>16</v>
      </c>
      <c r="C9" s="5">
        <v>8500</v>
      </c>
      <c r="D9" s="4" t="s">
        <v>17</v>
      </c>
      <c r="E9" s="4" t="s">
        <v>18</v>
      </c>
    </row>
    <row r="10" spans="1:6" x14ac:dyDescent="0.25">
      <c r="A10" s="2" t="s">
        <v>19</v>
      </c>
      <c r="B10" s="2" t="s">
        <v>20</v>
      </c>
      <c r="C10" s="3">
        <v>-45000</v>
      </c>
      <c r="D10" s="2" t="s">
        <v>21</v>
      </c>
      <c r="E10" s="2" t="s">
        <v>14</v>
      </c>
    </row>
    <row r="11" spans="1:6" x14ac:dyDescent="0.25">
      <c r="A11" s="4" t="s">
        <v>22</v>
      </c>
      <c r="B11" s="4" t="s">
        <v>23</v>
      </c>
      <c r="C11" s="5">
        <v>-3200</v>
      </c>
      <c r="D11" s="4" t="s">
        <v>24</v>
      </c>
      <c r="E11" s="4" t="s">
        <v>14</v>
      </c>
    </row>
    <row r="12" spans="1:6" x14ac:dyDescent="0.25">
      <c r="A12" s="2" t="s">
        <v>25</v>
      </c>
      <c r="B12" s="2" t="s">
        <v>26</v>
      </c>
      <c r="C12" s="3">
        <v>12000</v>
      </c>
      <c r="D12" s="2" t="s">
        <v>27</v>
      </c>
      <c r="E12" s="2" t="s">
        <v>18</v>
      </c>
    </row>
    <row r="13" spans="1:6" x14ac:dyDescent="0.25">
      <c r="A13" s="4" t="s">
        <v>28</v>
      </c>
      <c r="B13" s="4" t="s">
        <v>29</v>
      </c>
      <c r="C13" s="5">
        <v>-35</v>
      </c>
      <c r="D13" s="4" t="s">
        <v>30</v>
      </c>
      <c r="E13" s="4" t="s">
        <v>14</v>
      </c>
    </row>
    <row r="14" spans="1:6" x14ac:dyDescent="0.25">
      <c r="A14" s="2" t="s">
        <v>31</v>
      </c>
      <c r="B14" s="2" t="s">
        <v>32</v>
      </c>
      <c r="C14" s="3">
        <v>-890</v>
      </c>
      <c r="D14" s="2" t="s">
        <v>33</v>
      </c>
      <c r="E14" s="2" t="s">
        <v>14</v>
      </c>
    </row>
    <row r="15" spans="1:6" x14ac:dyDescent="0.25">
      <c r="A15" s="4" t="s">
        <v>34</v>
      </c>
      <c r="B15" s="4" t="s">
        <v>35</v>
      </c>
      <c r="C15" s="5">
        <v>5500</v>
      </c>
      <c r="D15" s="4" t="s">
        <v>36</v>
      </c>
      <c r="E15" s="4" t="s">
        <v>18</v>
      </c>
    </row>
    <row r="16" spans="1:6" x14ac:dyDescent="0.25">
      <c r="A16" s="2" t="s">
        <v>37</v>
      </c>
      <c r="B16" s="2" t="s">
        <v>38</v>
      </c>
      <c r="C16" s="3">
        <v>-1800</v>
      </c>
      <c r="D16" s="2" t="s">
        <v>39</v>
      </c>
      <c r="E16" s="2" t="s">
        <v>14</v>
      </c>
    </row>
    <row r="17" spans="1:5" x14ac:dyDescent="0.25">
      <c r="A17" s="4" t="s">
        <v>40</v>
      </c>
      <c r="B17" s="4" t="s">
        <v>41</v>
      </c>
      <c r="C17" s="5">
        <v>450</v>
      </c>
      <c r="D17" s="4" t="s">
        <v>42</v>
      </c>
      <c r="E17" s="4" t="s">
        <v>18</v>
      </c>
    </row>
    <row r="19" spans="1:5" ht="19.5" customHeight="1" x14ac:dyDescent="0.25">
      <c r="A19" s="71" t="s">
        <v>43</v>
      </c>
      <c r="B19" s="71"/>
      <c r="C19" s="71"/>
      <c r="D19" s="71"/>
      <c r="E19" s="71"/>
    </row>
    <row r="20" spans="1:5" x14ac:dyDescent="0.25">
      <c r="A20" s="1" t="s">
        <v>6</v>
      </c>
      <c r="B20" s="1" t="s">
        <v>7</v>
      </c>
      <c r="C20" s="1" t="s">
        <v>8</v>
      </c>
      <c r="D20" s="1" t="s">
        <v>44</v>
      </c>
      <c r="E20" s="1" t="s">
        <v>45</v>
      </c>
    </row>
    <row r="21" spans="1:5" x14ac:dyDescent="0.25">
      <c r="A21" s="6" t="s">
        <v>11</v>
      </c>
      <c r="B21" s="6" t="s">
        <v>46</v>
      </c>
      <c r="C21" s="7">
        <v>-1250</v>
      </c>
      <c r="D21" s="6" t="s">
        <v>47</v>
      </c>
      <c r="E21" s="6" t="s">
        <v>48</v>
      </c>
    </row>
    <row r="22" spans="1:5" ht="25.5" x14ac:dyDescent="0.25">
      <c r="A22" s="2" t="s">
        <v>15</v>
      </c>
      <c r="B22" s="2" t="s">
        <v>49</v>
      </c>
      <c r="C22" s="3">
        <v>8500</v>
      </c>
      <c r="D22" s="2" t="s">
        <v>50</v>
      </c>
      <c r="E22" s="2" t="s">
        <v>51</v>
      </c>
    </row>
    <row r="23" spans="1:5" x14ac:dyDescent="0.25">
      <c r="A23" s="6" t="s">
        <v>19</v>
      </c>
      <c r="B23" s="6" t="s">
        <v>52</v>
      </c>
      <c r="C23" s="7">
        <v>-45000</v>
      </c>
      <c r="D23" s="6" t="s">
        <v>53</v>
      </c>
      <c r="E23" s="6" t="s">
        <v>54</v>
      </c>
    </row>
    <row r="24" spans="1:5" x14ac:dyDescent="0.25">
      <c r="A24" s="2" t="s">
        <v>22</v>
      </c>
      <c r="B24" s="2" t="s">
        <v>55</v>
      </c>
      <c r="C24" s="3">
        <v>-3200</v>
      </c>
      <c r="D24" s="2" t="s">
        <v>56</v>
      </c>
      <c r="E24" s="2" t="s">
        <v>57</v>
      </c>
    </row>
    <row r="25" spans="1:5" x14ac:dyDescent="0.25">
      <c r="A25" s="6" t="s">
        <v>25</v>
      </c>
      <c r="B25" s="6" t="s">
        <v>58</v>
      </c>
      <c r="C25" s="7">
        <v>11800</v>
      </c>
      <c r="D25" s="6" t="s">
        <v>59</v>
      </c>
      <c r="E25" s="6" t="s">
        <v>51</v>
      </c>
    </row>
    <row r="26" spans="1:5" x14ac:dyDescent="0.25">
      <c r="A26" s="2" t="s">
        <v>31</v>
      </c>
      <c r="B26" s="2" t="s">
        <v>60</v>
      </c>
      <c r="C26" s="3">
        <v>-890</v>
      </c>
      <c r="D26" s="2" t="s">
        <v>61</v>
      </c>
      <c r="E26" s="2" t="s">
        <v>62</v>
      </c>
    </row>
    <row r="27" spans="1:5" x14ac:dyDescent="0.25">
      <c r="A27" s="6" t="s">
        <v>63</v>
      </c>
      <c r="B27" s="6" t="s">
        <v>64</v>
      </c>
      <c r="C27" s="7">
        <v>5500</v>
      </c>
      <c r="D27" s="6" t="s">
        <v>65</v>
      </c>
      <c r="E27" s="6" t="s">
        <v>51</v>
      </c>
    </row>
    <row r="28" spans="1:5" x14ac:dyDescent="0.25">
      <c r="A28" s="2" t="s">
        <v>37</v>
      </c>
      <c r="B28" s="2" t="s">
        <v>66</v>
      </c>
      <c r="C28" s="3">
        <v>-1800</v>
      </c>
      <c r="D28" s="2" t="s">
        <v>67</v>
      </c>
      <c r="E28" s="2" t="s">
        <v>68</v>
      </c>
    </row>
    <row r="29" spans="1:5" x14ac:dyDescent="0.25">
      <c r="A29" s="6" t="s">
        <v>69</v>
      </c>
      <c r="B29" s="6" t="s">
        <v>70</v>
      </c>
      <c r="C29" s="7">
        <v>-299</v>
      </c>
      <c r="D29" s="6" t="s">
        <v>71</v>
      </c>
      <c r="E29" s="6" t="s">
        <v>72</v>
      </c>
    </row>
    <row r="30" spans="1:5" x14ac:dyDescent="0.25">
      <c r="A30" s="2" t="s">
        <v>40</v>
      </c>
      <c r="B30" s="2" t="s">
        <v>73</v>
      </c>
      <c r="C30" s="3">
        <v>450</v>
      </c>
      <c r="D30" s="2" t="s">
        <v>74</v>
      </c>
      <c r="E30" s="2" t="s">
        <v>75</v>
      </c>
    </row>
  </sheetData>
  <mergeCells count="7">
    <mergeCell ref="A6:E6"/>
    <mergeCell ref="A19:E19"/>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topLeftCell="A4" zoomScaleNormal="100" workbookViewId="0">
      <selection activeCell="E25" sqref="E25"/>
    </sheetView>
  </sheetViews>
  <sheetFormatPr defaultColWidth="8.7109375" defaultRowHeight="15" x14ac:dyDescent="0.25"/>
  <cols>
    <col min="1" max="1" width="12" customWidth="1"/>
    <col min="2" max="2" width="25" customWidth="1"/>
    <col min="3" max="3" width="18" customWidth="1"/>
    <col min="4" max="4" width="15" customWidth="1"/>
    <col min="5" max="5" width="18" customWidth="1"/>
    <col min="6" max="6" width="12" customWidth="1"/>
    <col min="7" max="7" width="15" customWidth="1"/>
    <col min="8" max="8" width="20" customWidth="1"/>
  </cols>
  <sheetData>
    <row r="1" spans="1:8" ht="36" customHeight="1" x14ac:dyDescent="0.25">
      <c r="A1" s="72" t="s">
        <v>76</v>
      </c>
      <c r="B1" s="72"/>
      <c r="C1" s="72"/>
      <c r="D1" s="72"/>
      <c r="E1" s="72"/>
      <c r="F1" s="72"/>
      <c r="G1" s="72"/>
      <c r="H1" s="72"/>
    </row>
    <row r="2" spans="1:8" ht="21.75" customHeight="1" x14ac:dyDescent="0.25">
      <c r="A2" s="73" t="s">
        <v>77</v>
      </c>
      <c r="B2" s="73"/>
      <c r="C2" s="73"/>
      <c r="D2" s="73"/>
      <c r="E2" s="73"/>
      <c r="F2" s="73"/>
      <c r="G2" s="73"/>
      <c r="H2" s="73"/>
    </row>
    <row r="3" spans="1:8" ht="18" customHeight="1" x14ac:dyDescent="0.25">
      <c r="A3" s="74" t="s">
        <v>2</v>
      </c>
      <c r="B3" s="74"/>
      <c r="C3" s="74"/>
      <c r="D3" s="74"/>
      <c r="E3" s="74"/>
      <c r="F3" s="74"/>
      <c r="G3" s="74"/>
      <c r="H3" s="74"/>
    </row>
    <row r="4" spans="1:8" ht="72" customHeight="1" x14ac:dyDescent="0.25">
      <c r="A4" s="75" t="s">
        <v>78</v>
      </c>
      <c r="B4" s="75"/>
      <c r="C4" s="75"/>
      <c r="D4" s="75"/>
      <c r="E4" s="75"/>
      <c r="F4" s="75"/>
      <c r="G4" s="75"/>
      <c r="H4" s="75"/>
    </row>
    <row r="5" spans="1:8" ht="18" customHeight="1" x14ac:dyDescent="0.25">
      <c r="A5" s="76" t="s">
        <v>4</v>
      </c>
      <c r="B5" s="76"/>
      <c r="C5" s="76"/>
      <c r="D5" s="76"/>
      <c r="E5" s="76"/>
      <c r="F5" s="76"/>
      <c r="G5" s="76"/>
      <c r="H5" s="76"/>
    </row>
    <row r="6" spans="1:8" x14ac:dyDescent="0.25">
      <c r="A6" s="1" t="s">
        <v>79</v>
      </c>
      <c r="B6" s="1" t="s">
        <v>80</v>
      </c>
      <c r="C6" s="1" t="s">
        <v>6</v>
      </c>
      <c r="D6" s="1" t="s">
        <v>81</v>
      </c>
      <c r="E6" s="1" t="s">
        <v>45</v>
      </c>
      <c r="F6" s="1" t="s">
        <v>82</v>
      </c>
      <c r="G6" s="1" t="s">
        <v>83</v>
      </c>
      <c r="H6" s="1" t="s">
        <v>84</v>
      </c>
    </row>
    <row r="7" spans="1:8" x14ac:dyDescent="0.25">
      <c r="A7" s="4">
        <v>1001</v>
      </c>
      <c r="B7" s="4" t="s">
        <v>85</v>
      </c>
      <c r="C7" s="4" t="s">
        <v>86</v>
      </c>
      <c r="D7" s="5">
        <v>4500</v>
      </c>
      <c r="E7" s="4" t="s">
        <v>51</v>
      </c>
      <c r="F7" s="4" t="s">
        <v>87</v>
      </c>
      <c r="G7" s="4" t="s">
        <v>88</v>
      </c>
      <c r="H7" s="4" t="s">
        <v>89</v>
      </c>
    </row>
    <row r="8" spans="1:8" x14ac:dyDescent="0.25">
      <c r="A8" s="2">
        <v>1002</v>
      </c>
      <c r="B8" s="2" t="s">
        <v>90</v>
      </c>
      <c r="C8" s="2" t="s">
        <v>91</v>
      </c>
      <c r="D8" s="3">
        <v>2300</v>
      </c>
      <c r="E8" s="2"/>
      <c r="F8" s="2" t="s">
        <v>92</v>
      </c>
      <c r="G8" s="2" t="s">
        <v>88</v>
      </c>
      <c r="H8" s="2"/>
    </row>
    <row r="9" spans="1:8" x14ac:dyDescent="0.25">
      <c r="A9" s="4">
        <v>1003</v>
      </c>
      <c r="B9" s="4" t="s">
        <v>93</v>
      </c>
      <c r="C9" s="4" t="s">
        <v>94</v>
      </c>
      <c r="D9" s="4"/>
      <c r="E9" s="4" t="s">
        <v>48</v>
      </c>
      <c r="F9" s="4" t="s">
        <v>95</v>
      </c>
      <c r="G9" s="4" t="s">
        <v>96</v>
      </c>
      <c r="H9" s="4" t="s">
        <v>97</v>
      </c>
    </row>
    <row r="10" spans="1:8" x14ac:dyDescent="0.25">
      <c r="A10" s="2">
        <v>1004</v>
      </c>
      <c r="B10" s="2" t="s">
        <v>90</v>
      </c>
      <c r="C10" s="2" t="s">
        <v>91</v>
      </c>
      <c r="D10" s="3">
        <v>2300</v>
      </c>
      <c r="E10" s="2"/>
      <c r="F10" s="2" t="s">
        <v>92</v>
      </c>
      <c r="G10" s="2" t="s">
        <v>88</v>
      </c>
      <c r="H10" s="2"/>
    </row>
    <row r="11" spans="1:8" x14ac:dyDescent="0.25">
      <c r="A11" s="4">
        <v>1005</v>
      </c>
      <c r="B11" s="4" t="s">
        <v>98</v>
      </c>
      <c r="C11" s="4" t="s">
        <v>99</v>
      </c>
      <c r="D11" s="5">
        <v>8900</v>
      </c>
      <c r="E11" s="4" t="s">
        <v>51</v>
      </c>
      <c r="F11" s="4" t="s">
        <v>100</v>
      </c>
      <c r="G11" s="4" t="s">
        <v>88</v>
      </c>
      <c r="H11" s="4" t="s">
        <v>101</v>
      </c>
    </row>
    <row r="12" spans="1:8" x14ac:dyDescent="0.25">
      <c r="A12" s="2">
        <v>1006</v>
      </c>
      <c r="B12" s="2" t="s">
        <v>102</v>
      </c>
      <c r="C12" s="2" t="s">
        <v>103</v>
      </c>
      <c r="D12" s="2">
        <v>0</v>
      </c>
      <c r="E12" s="2" t="s">
        <v>104</v>
      </c>
      <c r="F12" s="2" t="s">
        <v>87</v>
      </c>
      <c r="G12" s="2"/>
      <c r="H12" s="2"/>
    </row>
    <row r="13" spans="1:8" x14ac:dyDescent="0.25">
      <c r="A13" s="4">
        <v>1007</v>
      </c>
      <c r="B13" s="4" t="s">
        <v>105</v>
      </c>
      <c r="C13" s="4" t="s">
        <v>106</v>
      </c>
      <c r="D13" s="5">
        <v>1200</v>
      </c>
      <c r="E13" s="4"/>
      <c r="F13" s="4" t="s">
        <v>95</v>
      </c>
      <c r="G13" s="4" t="s">
        <v>88</v>
      </c>
      <c r="H13" s="4"/>
    </row>
    <row r="14" spans="1:8" x14ac:dyDescent="0.25">
      <c r="A14" s="2">
        <v>1008</v>
      </c>
      <c r="B14" s="2" t="s">
        <v>107</v>
      </c>
      <c r="C14" s="2" t="s">
        <v>108</v>
      </c>
      <c r="D14" s="3">
        <v>6700</v>
      </c>
      <c r="E14" s="2" t="s">
        <v>51</v>
      </c>
      <c r="F14" s="2" t="s">
        <v>92</v>
      </c>
      <c r="G14" s="2" t="s">
        <v>88</v>
      </c>
      <c r="H14" s="2"/>
    </row>
    <row r="15" spans="1:8" x14ac:dyDescent="0.25">
      <c r="A15" s="4">
        <v>1009</v>
      </c>
      <c r="B15" s="4" t="s">
        <v>109</v>
      </c>
      <c r="C15" s="4" t="s">
        <v>110</v>
      </c>
      <c r="D15" s="5">
        <v>3400</v>
      </c>
      <c r="E15" s="4" t="s">
        <v>111</v>
      </c>
      <c r="F15" s="4"/>
      <c r="G15" s="4" t="s">
        <v>88</v>
      </c>
      <c r="H15" s="4"/>
    </row>
    <row r="16" spans="1:8" x14ac:dyDescent="0.25">
      <c r="A16" s="2">
        <v>1010</v>
      </c>
      <c r="B16" s="2" t="s">
        <v>112</v>
      </c>
      <c r="C16" s="2" t="s">
        <v>113</v>
      </c>
      <c r="D16" s="2"/>
      <c r="E16" s="2" t="s">
        <v>48</v>
      </c>
      <c r="F16" s="2" t="s">
        <v>87</v>
      </c>
      <c r="G16" s="2" t="s">
        <v>96</v>
      </c>
      <c r="H16" s="2" t="s">
        <v>114</v>
      </c>
    </row>
    <row r="17" spans="1:8" x14ac:dyDescent="0.25">
      <c r="A17" s="4">
        <v>1011</v>
      </c>
      <c r="B17" s="4" t="s">
        <v>115</v>
      </c>
      <c r="C17" s="4" t="s">
        <v>116</v>
      </c>
      <c r="D17" s="5">
        <v>5100</v>
      </c>
      <c r="E17" s="4" t="s">
        <v>51</v>
      </c>
      <c r="F17" s="4" t="s">
        <v>100</v>
      </c>
      <c r="G17" s="4" t="s">
        <v>88</v>
      </c>
      <c r="H17" s="4"/>
    </row>
    <row r="18" spans="1:8" x14ac:dyDescent="0.25">
      <c r="A18" s="2">
        <v>1012</v>
      </c>
      <c r="B18" s="2" t="s">
        <v>117</v>
      </c>
      <c r="C18" s="2" t="s">
        <v>118</v>
      </c>
      <c r="D18" s="3">
        <v>900</v>
      </c>
      <c r="E18" s="2"/>
      <c r="F18" s="2" t="s">
        <v>95</v>
      </c>
      <c r="G18" s="2" t="s">
        <v>88</v>
      </c>
      <c r="H18" s="2" t="s">
        <v>119</v>
      </c>
    </row>
  </sheetData>
  <mergeCells count="5">
    <mergeCell ref="A1:H1"/>
    <mergeCell ref="A2:H2"/>
    <mergeCell ref="A3:H3"/>
    <mergeCell ref="A4:H4"/>
    <mergeCell ref="A5:H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topLeftCell="A2" zoomScaleNormal="100" workbookViewId="0">
      <selection activeCell="A4" sqref="A4:G4"/>
    </sheetView>
  </sheetViews>
  <sheetFormatPr defaultColWidth="8.7109375" defaultRowHeight="15" x14ac:dyDescent="0.25"/>
  <cols>
    <col min="1" max="1" width="12" customWidth="1"/>
    <col min="2" max="2" width="20" customWidth="1"/>
    <col min="3" max="3" width="28" customWidth="1"/>
    <col min="4" max="4" width="14" customWidth="1"/>
    <col min="5" max="5" width="20" customWidth="1"/>
    <col min="6" max="6" width="22" customWidth="1"/>
    <col min="7" max="7" width="15" customWidth="1"/>
  </cols>
  <sheetData>
    <row r="1" spans="1:7" ht="36" customHeight="1" x14ac:dyDescent="0.25">
      <c r="A1" s="72" t="s">
        <v>120</v>
      </c>
      <c r="B1" s="72"/>
      <c r="C1" s="72"/>
      <c r="D1" s="72"/>
      <c r="E1" s="72"/>
      <c r="F1" s="72"/>
      <c r="G1" s="72"/>
    </row>
    <row r="2" spans="1:7" ht="21.75" customHeight="1" x14ac:dyDescent="0.25">
      <c r="A2" s="73" t="s">
        <v>121</v>
      </c>
      <c r="B2" s="73"/>
      <c r="C2" s="73"/>
      <c r="D2" s="73"/>
      <c r="E2" s="73"/>
      <c r="F2" s="73"/>
      <c r="G2" s="73"/>
    </row>
    <row r="3" spans="1:7" ht="18" customHeight="1" x14ac:dyDescent="0.25">
      <c r="A3" s="74" t="s">
        <v>2</v>
      </c>
      <c r="B3" s="74"/>
      <c r="C3" s="74"/>
      <c r="D3" s="74"/>
      <c r="E3" s="74"/>
      <c r="F3" s="74"/>
      <c r="G3" s="74"/>
    </row>
    <row r="4" spans="1:7" ht="72" customHeight="1" x14ac:dyDescent="0.25">
      <c r="A4" s="75" t="s">
        <v>122</v>
      </c>
      <c r="B4" s="75"/>
      <c r="C4" s="75"/>
      <c r="D4" s="75"/>
      <c r="E4" s="75"/>
      <c r="F4" s="75"/>
      <c r="G4" s="75"/>
    </row>
    <row r="5" spans="1:7" ht="18" customHeight="1" x14ac:dyDescent="0.25">
      <c r="A5" s="76" t="s">
        <v>4</v>
      </c>
      <c r="B5" s="76"/>
      <c r="C5" s="76"/>
      <c r="D5" s="76"/>
      <c r="E5" s="76"/>
      <c r="F5" s="76"/>
      <c r="G5" s="76"/>
    </row>
    <row r="6" spans="1:7" x14ac:dyDescent="0.25">
      <c r="A6" s="1" t="s">
        <v>6</v>
      </c>
      <c r="B6" s="1" t="s">
        <v>123</v>
      </c>
      <c r="C6" s="1" t="s">
        <v>124</v>
      </c>
      <c r="D6" s="1" t="s">
        <v>8</v>
      </c>
      <c r="E6" s="1" t="s">
        <v>125</v>
      </c>
      <c r="F6" s="1" t="s">
        <v>126</v>
      </c>
      <c r="G6" s="1" t="s">
        <v>127</v>
      </c>
    </row>
    <row r="7" spans="1:7" x14ac:dyDescent="0.25">
      <c r="A7" s="4" t="s">
        <v>128</v>
      </c>
      <c r="B7" s="4" t="s">
        <v>129</v>
      </c>
      <c r="C7" s="4" t="s">
        <v>130</v>
      </c>
      <c r="D7" s="5" t="s">
        <v>131</v>
      </c>
      <c r="E7" s="4" t="s">
        <v>132</v>
      </c>
      <c r="F7" s="4"/>
      <c r="G7" s="4"/>
    </row>
    <row r="8" spans="1:7" x14ac:dyDescent="0.25">
      <c r="A8" s="2" t="s">
        <v>128</v>
      </c>
      <c r="B8" s="2" t="s">
        <v>133</v>
      </c>
      <c r="C8" s="2" t="s">
        <v>134</v>
      </c>
      <c r="D8" s="3" t="s">
        <v>135</v>
      </c>
      <c r="E8" s="2" t="s">
        <v>136</v>
      </c>
      <c r="F8" s="2"/>
      <c r="G8" s="2"/>
    </row>
    <row r="9" spans="1:7" ht="25.5" x14ac:dyDescent="0.25">
      <c r="A9" s="4" t="s">
        <v>15</v>
      </c>
      <c r="B9" s="4" t="s">
        <v>129</v>
      </c>
      <c r="C9" s="4" t="s">
        <v>137</v>
      </c>
      <c r="D9" s="5" t="s">
        <v>138</v>
      </c>
      <c r="E9" s="4" t="s">
        <v>132</v>
      </c>
      <c r="F9" s="4"/>
      <c r="G9" s="4"/>
    </row>
    <row r="10" spans="1:7" x14ac:dyDescent="0.25">
      <c r="A10" s="2" t="s">
        <v>139</v>
      </c>
      <c r="B10" s="2" t="s">
        <v>115</v>
      </c>
      <c r="C10" s="2" t="s">
        <v>140</v>
      </c>
      <c r="D10" s="3" t="s">
        <v>141</v>
      </c>
      <c r="E10" s="2" t="s">
        <v>142</v>
      </c>
      <c r="F10" s="2"/>
      <c r="G10" s="2"/>
    </row>
    <row r="11" spans="1:7" ht="25.5" x14ac:dyDescent="0.25">
      <c r="A11" s="4" t="s">
        <v>19</v>
      </c>
      <c r="B11" s="4" t="s">
        <v>133</v>
      </c>
      <c r="C11" s="4" t="s">
        <v>143</v>
      </c>
      <c r="D11" s="5" t="s">
        <v>144</v>
      </c>
      <c r="E11" s="4" t="s">
        <v>136</v>
      </c>
      <c r="F11" s="4"/>
      <c r="G11" s="4"/>
    </row>
    <row r="12" spans="1:7" x14ac:dyDescent="0.25">
      <c r="A12" s="2" t="s">
        <v>22</v>
      </c>
      <c r="B12" s="2" t="s">
        <v>145</v>
      </c>
      <c r="C12" s="2" t="s">
        <v>146</v>
      </c>
      <c r="D12" s="3" t="s">
        <v>147</v>
      </c>
      <c r="E12" s="2" t="s">
        <v>148</v>
      </c>
      <c r="F12" s="2"/>
      <c r="G12" s="2"/>
    </row>
    <row r="13" spans="1:7" x14ac:dyDescent="0.25">
      <c r="A13" s="4" t="s">
        <v>149</v>
      </c>
      <c r="B13" s="4" t="s">
        <v>129</v>
      </c>
      <c r="C13" s="4" t="s">
        <v>150</v>
      </c>
      <c r="D13" s="5" t="s">
        <v>151</v>
      </c>
      <c r="E13" s="4" t="s">
        <v>132</v>
      </c>
      <c r="F13" s="4"/>
      <c r="G13" s="4"/>
    </row>
    <row r="14" spans="1:7" x14ac:dyDescent="0.25">
      <c r="A14" s="2" t="s">
        <v>25</v>
      </c>
      <c r="B14" s="2" t="s">
        <v>115</v>
      </c>
      <c r="C14" s="2" t="s">
        <v>152</v>
      </c>
      <c r="D14" s="3" t="s">
        <v>153</v>
      </c>
      <c r="E14" s="2" t="s">
        <v>142</v>
      </c>
      <c r="F14" s="2"/>
      <c r="G14" s="2"/>
    </row>
    <row r="15" spans="1:7" x14ac:dyDescent="0.25">
      <c r="A15" s="4" t="s">
        <v>28</v>
      </c>
      <c r="B15" s="4" t="s">
        <v>133</v>
      </c>
      <c r="C15" s="4" t="s">
        <v>154</v>
      </c>
      <c r="D15" s="5" t="s">
        <v>155</v>
      </c>
      <c r="E15" s="4" t="s">
        <v>136</v>
      </c>
      <c r="F15" s="4"/>
      <c r="G15" s="4"/>
    </row>
    <row r="16" spans="1:7" x14ac:dyDescent="0.25">
      <c r="A16" s="2" t="s">
        <v>31</v>
      </c>
      <c r="B16" s="2" t="s">
        <v>145</v>
      </c>
      <c r="C16" s="2" t="s">
        <v>156</v>
      </c>
      <c r="D16" s="3" t="s">
        <v>157</v>
      </c>
      <c r="E16" s="2" t="s">
        <v>148</v>
      </c>
      <c r="F16" s="2"/>
      <c r="G16" s="2"/>
    </row>
    <row r="17" spans="1:7" x14ac:dyDescent="0.25">
      <c r="A17" s="4" t="s">
        <v>63</v>
      </c>
      <c r="B17" s="4" t="s">
        <v>129</v>
      </c>
      <c r="C17" s="4" t="s">
        <v>158</v>
      </c>
      <c r="D17" s="5" t="s">
        <v>159</v>
      </c>
      <c r="E17" s="4" t="s">
        <v>132</v>
      </c>
      <c r="F17" s="4"/>
      <c r="G17" s="4"/>
    </row>
    <row r="18" spans="1:7" x14ac:dyDescent="0.25">
      <c r="A18" s="2" t="s">
        <v>34</v>
      </c>
      <c r="B18" s="2" t="s">
        <v>115</v>
      </c>
      <c r="C18" s="2" t="s">
        <v>160</v>
      </c>
      <c r="D18" s="3" t="s">
        <v>161</v>
      </c>
      <c r="E18" s="2" t="s">
        <v>142</v>
      </c>
      <c r="F18" s="2"/>
      <c r="G18" s="2"/>
    </row>
    <row r="19" spans="1:7" x14ac:dyDescent="0.25">
      <c r="A19" s="4" t="s">
        <v>162</v>
      </c>
      <c r="B19" s="4" t="s">
        <v>133</v>
      </c>
      <c r="C19" s="4" t="s">
        <v>163</v>
      </c>
      <c r="D19" s="5" t="s">
        <v>164</v>
      </c>
      <c r="E19" s="4" t="s">
        <v>136</v>
      </c>
      <c r="F19" s="4"/>
      <c r="G19" s="4"/>
    </row>
    <row r="20" spans="1:7" x14ac:dyDescent="0.25">
      <c r="A20" s="2" t="s">
        <v>37</v>
      </c>
      <c r="B20" s="2" t="s">
        <v>145</v>
      </c>
      <c r="C20" s="2" t="s">
        <v>165</v>
      </c>
      <c r="D20" s="3" t="s">
        <v>166</v>
      </c>
      <c r="E20" s="2" t="s">
        <v>148</v>
      </c>
      <c r="F20" s="2"/>
      <c r="G20" s="2"/>
    </row>
    <row r="21" spans="1:7" x14ac:dyDescent="0.25">
      <c r="A21" s="4" t="s">
        <v>91</v>
      </c>
      <c r="B21" s="4" t="s">
        <v>129</v>
      </c>
      <c r="C21" s="4" t="s">
        <v>167</v>
      </c>
      <c r="D21" s="5" t="s">
        <v>168</v>
      </c>
      <c r="E21" s="4" t="s">
        <v>132</v>
      </c>
      <c r="F21" s="4"/>
      <c r="G21" s="4"/>
    </row>
    <row r="22" spans="1:7" x14ac:dyDescent="0.25">
      <c r="A22" s="2" t="s">
        <v>69</v>
      </c>
      <c r="B22" s="2" t="s">
        <v>115</v>
      </c>
      <c r="C22" s="2" t="s">
        <v>169</v>
      </c>
      <c r="D22" s="3" t="s">
        <v>170</v>
      </c>
      <c r="E22" s="2" t="s">
        <v>142</v>
      </c>
      <c r="F22" s="2"/>
      <c r="G22" s="2"/>
    </row>
    <row r="23" spans="1:7" x14ac:dyDescent="0.25">
      <c r="A23" s="4" t="s">
        <v>40</v>
      </c>
      <c r="B23" s="4" t="s">
        <v>133</v>
      </c>
      <c r="C23" s="4" t="s">
        <v>171</v>
      </c>
      <c r="D23" s="5" t="s">
        <v>172</v>
      </c>
      <c r="E23" s="4" t="s">
        <v>136</v>
      </c>
      <c r="F23" s="4"/>
      <c r="G23" s="4"/>
    </row>
    <row r="24" spans="1:7" x14ac:dyDescent="0.25">
      <c r="A24" s="2" t="s">
        <v>173</v>
      </c>
      <c r="B24" s="2" t="s">
        <v>145</v>
      </c>
      <c r="C24" s="2" t="s">
        <v>174</v>
      </c>
      <c r="D24" s="3" t="s">
        <v>175</v>
      </c>
      <c r="E24" s="2" t="s">
        <v>148</v>
      </c>
      <c r="F24" s="2"/>
      <c r="G24" s="2"/>
    </row>
  </sheetData>
  <mergeCells count="5">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7"/>
  <sheetViews>
    <sheetView zoomScaleNormal="100" workbookViewId="0">
      <selection activeCell="A4" sqref="A4:M4"/>
    </sheetView>
  </sheetViews>
  <sheetFormatPr defaultColWidth="8.7109375" defaultRowHeight="15" x14ac:dyDescent="0.25"/>
  <cols>
    <col min="1" max="1" width="26.7109375" customWidth="1"/>
    <col min="2" max="4" width="20" customWidth="1"/>
    <col min="5" max="5" width="17.140625" customWidth="1"/>
    <col min="6" max="6" width="15.28515625" customWidth="1"/>
    <col min="7" max="7" width="49.5703125" customWidth="1"/>
    <col min="8" max="13" width="14" customWidth="1"/>
  </cols>
  <sheetData>
    <row r="1" spans="1:13" ht="36" customHeight="1" x14ac:dyDescent="0.25">
      <c r="A1" s="72" t="s">
        <v>176</v>
      </c>
      <c r="B1" s="72"/>
      <c r="C1" s="72"/>
      <c r="D1" s="72"/>
      <c r="E1" s="72"/>
      <c r="F1" s="72"/>
      <c r="G1" s="72"/>
      <c r="H1" s="72"/>
      <c r="I1" s="72"/>
      <c r="J1" s="72"/>
      <c r="K1" s="72"/>
      <c r="L1" s="72"/>
      <c r="M1" s="72"/>
    </row>
    <row r="2" spans="1:13" ht="21.75" customHeight="1" x14ac:dyDescent="0.25">
      <c r="A2" s="73" t="s">
        <v>177</v>
      </c>
      <c r="B2" s="73"/>
      <c r="C2" s="73"/>
      <c r="D2" s="73"/>
      <c r="E2" s="73"/>
      <c r="F2" s="73"/>
      <c r="G2" s="73"/>
      <c r="H2" s="73"/>
      <c r="I2" s="73"/>
      <c r="J2" s="73"/>
      <c r="K2" s="73"/>
      <c r="L2" s="73"/>
      <c r="M2" s="73"/>
    </row>
    <row r="3" spans="1:13" ht="18" customHeight="1" x14ac:dyDescent="0.25">
      <c r="A3" s="74" t="s">
        <v>2</v>
      </c>
      <c r="B3" s="74"/>
      <c r="C3" s="74"/>
      <c r="D3" s="74"/>
      <c r="E3" s="74"/>
      <c r="F3" s="74"/>
      <c r="G3" s="74"/>
      <c r="H3" s="74"/>
      <c r="I3" s="74"/>
      <c r="J3" s="74"/>
      <c r="K3" s="74"/>
      <c r="L3" s="74"/>
      <c r="M3" s="74"/>
    </row>
    <row r="4" spans="1:13" ht="72" customHeight="1" x14ac:dyDescent="0.25">
      <c r="A4" s="75" t="s">
        <v>178</v>
      </c>
      <c r="B4" s="75"/>
      <c r="C4" s="75"/>
      <c r="D4" s="75"/>
      <c r="E4" s="75"/>
      <c r="F4" s="75"/>
      <c r="G4" s="75"/>
      <c r="H4" s="75"/>
      <c r="I4" s="75"/>
      <c r="J4" s="75"/>
      <c r="K4" s="75"/>
      <c r="L4" s="75"/>
      <c r="M4" s="75"/>
    </row>
    <row r="5" spans="1:13" ht="18" customHeight="1" x14ac:dyDescent="0.25">
      <c r="A5" s="76" t="s">
        <v>4</v>
      </c>
      <c r="B5" s="76"/>
      <c r="C5" s="76"/>
      <c r="D5" s="76"/>
      <c r="E5" s="76"/>
      <c r="F5" s="76"/>
      <c r="G5" s="76"/>
      <c r="H5" s="76"/>
      <c r="I5" s="76"/>
      <c r="J5" s="76"/>
      <c r="K5" s="76"/>
      <c r="L5" s="76"/>
      <c r="M5" s="76"/>
    </row>
    <row r="6" spans="1:13" ht="21.75" customHeight="1" x14ac:dyDescent="0.25">
      <c r="A6" s="8" t="s">
        <v>179</v>
      </c>
      <c r="B6" s="8" t="s">
        <v>180</v>
      </c>
      <c r="C6" s="8" t="s">
        <v>181</v>
      </c>
      <c r="D6" s="8" t="s">
        <v>182</v>
      </c>
      <c r="E6" s="8" t="s">
        <v>183</v>
      </c>
      <c r="F6" s="8" t="s">
        <v>184</v>
      </c>
      <c r="G6" s="8" t="s">
        <v>185</v>
      </c>
      <c r="H6" s="8" t="s">
        <v>186</v>
      </c>
      <c r="I6" s="8" t="s">
        <v>187</v>
      </c>
      <c r="J6" s="8" t="s">
        <v>188</v>
      </c>
      <c r="K6" s="8" t="s">
        <v>189</v>
      </c>
      <c r="L6" s="8" t="s">
        <v>190</v>
      </c>
      <c r="M6" s="8" t="s">
        <v>191</v>
      </c>
    </row>
    <row r="7" spans="1:13" ht="21.75" customHeight="1" x14ac:dyDescent="0.25">
      <c r="A7" s="9" t="s">
        <v>192</v>
      </c>
      <c r="B7" s="8" t="s">
        <v>193</v>
      </c>
      <c r="C7" s="8" t="s">
        <v>194</v>
      </c>
      <c r="D7" s="8" t="s">
        <v>195</v>
      </c>
      <c r="E7" s="8" t="s">
        <v>196</v>
      </c>
      <c r="F7" s="8" t="s">
        <v>197</v>
      </c>
      <c r="G7" s="8" t="s">
        <v>198</v>
      </c>
      <c r="H7" s="8" t="s">
        <v>199</v>
      </c>
      <c r="I7" s="8" t="s">
        <v>200</v>
      </c>
      <c r="J7" s="8" t="s">
        <v>201</v>
      </c>
      <c r="K7" s="8" t="s">
        <v>202</v>
      </c>
      <c r="L7" s="8" t="s">
        <v>203</v>
      </c>
      <c r="M7" s="8" t="s">
        <v>204</v>
      </c>
    </row>
    <row r="8" spans="1:13" x14ac:dyDescent="0.25">
      <c r="A8" s="10" t="s">
        <v>205</v>
      </c>
      <c r="B8" s="11">
        <v>182000</v>
      </c>
      <c r="C8" s="11">
        <v>175000</v>
      </c>
      <c r="D8" s="11">
        <v>198000</v>
      </c>
      <c r="E8" s="11">
        <v>210000</v>
      </c>
      <c r="F8" s="11">
        <v>225000</v>
      </c>
      <c r="G8" s="11">
        <v>241000</v>
      </c>
      <c r="H8" s="11">
        <v>235000</v>
      </c>
      <c r="I8" s="11">
        <v>229000</v>
      </c>
      <c r="J8" s="11">
        <v>248000</v>
      </c>
      <c r="K8" s="11">
        <v>262000</v>
      </c>
      <c r="L8" s="11">
        <v>285000</v>
      </c>
      <c r="M8" s="11">
        <v>310000</v>
      </c>
    </row>
    <row r="9" spans="1:13" x14ac:dyDescent="0.25">
      <c r="A9" s="12" t="s">
        <v>206</v>
      </c>
      <c r="B9" s="13">
        <v>298000</v>
      </c>
      <c r="C9" s="13">
        <v>289000</v>
      </c>
      <c r="D9" s="13">
        <v>315000</v>
      </c>
      <c r="E9" s="13">
        <v>334000</v>
      </c>
      <c r="F9" s="13">
        <v>351000</v>
      </c>
      <c r="G9" s="13">
        <v>372000</v>
      </c>
      <c r="H9" s="13">
        <v>365000</v>
      </c>
      <c r="I9" s="13">
        <v>358000</v>
      </c>
      <c r="J9" s="13">
        <v>389000</v>
      </c>
      <c r="K9" s="13">
        <v>405000</v>
      </c>
      <c r="L9" s="13">
        <v>431000</v>
      </c>
      <c r="M9" s="13">
        <v>468000</v>
      </c>
    </row>
    <row r="10" spans="1:13" x14ac:dyDescent="0.25">
      <c r="A10" s="14" t="s">
        <v>207</v>
      </c>
      <c r="B10" s="15">
        <f t="shared" ref="B10:M10" si="0">(B9-B8)/B8</f>
        <v>0.63736263736263732</v>
      </c>
      <c r="C10" s="15">
        <f t="shared" si="0"/>
        <v>0.65142857142857147</v>
      </c>
      <c r="D10" s="15">
        <f t="shared" si="0"/>
        <v>0.59090909090909094</v>
      </c>
      <c r="E10" s="15">
        <f t="shared" si="0"/>
        <v>0.59047619047619049</v>
      </c>
      <c r="F10" s="15">
        <f t="shared" si="0"/>
        <v>0.56000000000000005</v>
      </c>
      <c r="G10" s="15">
        <f t="shared" si="0"/>
        <v>0.54356846473029041</v>
      </c>
      <c r="H10" s="15">
        <f t="shared" si="0"/>
        <v>0.55319148936170215</v>
      </c>
      <c r="I10" s="15">
        <f t="shared" si="0"/>
        <v>0.5633187772925764</v>
      </c>
      <c r="J10" s="15">
        <f t="shared" si="0"/>
        <v>0.56854838709677424</v>
      </c>
      <c r="K10" s="15">
        <f t="shared" si="0"/>
        <v>0.54580152671755722</v>
      </c>
      <c r="L10" s="15">
        <f t="shared" si="0"/>
        <v>0.512280701754386</v>
      </c>
      <c r="M10" s="15">
        <f t="shared" si="0"/>
        <v>0.50967741935483868</v>
      </c>
    </row>
    <row r="11" spans="1:13" x14ac:dyDescent="0.25">
      <c r="A11" s="16" t="s">
        <v>208</v>
      </c>
      <c r="B11" s="17">
        <v>18000</v>
      </c>
      <c r="C11" s="17">
        <v>15000</v>
      </c>
      <c r="D11" s="17">
        <v>22000</v>
      </c>
      <c r="E11" s="17">
        <v>19000</v>
      </c>
      <c r="F11" s="17">
        <v>24000</v>
      </c>
      <c r="G11" s="17">
        <v>27000</v>
      </c>
      <c r="H11" s="17">
        <v>21000</v>
      </c>
      <c r="I11" s="17">
        <v>19000</v>
      </c>
      <c r="J11" s="17">
        <v>25000</v>
      </c>
      <c r="K11" s="17">
        <v>23000</v>
      </c>
      <c r="L11" s="17">
        <v>28000</v>
      </c>
      <c r="M11" s="17">
        <v>31000</v>
      </c>
    </row>
    <row r="12" spans="1:13" x14ac:dyDescent="0.25">
      <c r="A12" s="18" t="s">
        <v>209</v>
      </c>
      <c r="B12" s="19">
        <v>24000</v>
      </c>
      <c r="C12" s="19">
        <v>21000</v>
      </c>
      <c r="D12" s="19">
        <v>28000</v>
      </c>
      <c r="E12" s="19">
        <v>26000</v>
      </c>
      <c r="F12" s="19">
        <v>31000</v>
      </c>
      <c r="G12" s="19">
        <v>35000</v>
      </c>
      <c r="H12" s="19">
        <v>29000</v>
      </c>
      <c r="I12" s="19">
        <v>25000</v>
      </c>
      <c r="J12" s="19">
        <v>33000</v>
      </c>
      <c r="K12" s="19">
        <v>30000</v>
      </c>
      <c r="L12" s="19">
        <v>36000</v>
      </c>
      <c r="M12" s="19">
        <v>42000</v>
      </c>
    </row>
    <row r="13" spans="1:13" x14ac:dyDescent="0.25">
      <c r="A13" s="14" t="s">
        <v>207</v>
      </c>
      <c r="B13" s="15">
        <f t="shared" ref="B13:M13" si="1">(B12-B11)/B11</f>
        <v>0.33333333333333331</v>
      </c>
      <c r="C13" s="15">
        <f t="shared" si="1"/>
        <v>0.4</v>
      </c>
      <c r="D13" s="15">
        <f t="shared" si="1"/>
        <v>0.27272727272727271</v>
      </c>
      <c r="E13" s="15">
        <f t="shared" si="1"/>
        <v>0.36842105263157893</v>
      </c>
      <c r="F13" s="15">
        <f t="shared" si="1"/>
        <v>0.29166666666666669</v>
      </c>
      <c r="G13" s="15">
        <f t="shared" si="1"/>
        <v>0.29629629629629628</v>
      </c>
      <c r="H13" s="15">
        <f t="shared" si="1"/>
        <v>0.38095238095238093</v>
      </c>
      <c r="I13" s="15">
        <f t="shared" si="1"/>
        <v>0.31578947368421051</v>
      </c>
      <c r="J13" s="15">
        <f t="shared" si="1"/>
        <v>0.32</v>
      </c>
      <c r="K13" s="15">
        <f t="shared" si="1"/>
        <v>0.30434782608695654</v>
      </c>
      <c r="L13" s="15">
        <f t="shared" si="1"/>
        <v>0.2857142857142857</v>
      </c>
      <c r="M13" s="15">
        <f t="shared" si="1"/>
        <v>0.35483870967741937</v>
      </c>
    </row>
    <row r="14" spans="1:13" x14ac:dyDescent="0.25">
      <c r="A14" s="10" t="s">
        <v>210</v>
      </c>
      <c r="B14" s="20">
        <v>2.1000000000000001E-2</v>
      </c>
      <c r="C14" s="20">
        <v>2.3E-2</v>
      </c>
      <c r="D14" s="20">
        <v>0.02</v>
      </c>
      <c r="E14" s="20">
        <v>1.9E-2</v>
      </c>
      <c r="F14" s="20">
        <v>1.7999999999999999E-2</v>
      </c>
      <c r="G14" s="20">
        <v>1.7000000000000001E-2</v>
      </c>
      <c r="H14" s="20">
        <v>0.02</v>
      </c>
      <c r="I14" s="20">
        <v>2.1999999999999999E-2</v>
      </c>
      <c r="J14" s="20">
        <v>1.9E-2</v>
      </c>
      <c r="K14" s="20">
        <v>1.7999999999999999E-2</v>
      </c>
      <c r="L14" s="20">
        <v>1.6E-2</v>
      </c>
      <c r="M14" s="20">
        <v>1.4999999999999999E-2</v>
      </c>
    </row>
    <row r="15" spans="1:13" x14ac:dyDescent="0.25">
      <c r="A15" s="12" t="s">
        <v>211</v>
      </c>
      <c r="B15" s="21">
        <v>1.9E-2</v>
      </c>
      <c r="C15" s="21">
        <v>2.1000000000000001E-2</v>
      </c>
      <c r="D15" s="21">
        <v>1.7999999999999999E-2</v>
      </c>
      <c r="E15" s="21">
        <v>1.7000000000000001E-2</v>
      </c>
      <c r="F15" s="21">
        <v>1.6E-2</v>
      </c>
      <c r="G15" s="21">
        <v>1.4999999999999999E-2</v>
      </c>
      <c r="H15" s="21">
        <v>1.7999999999999999E-2</v>
      </c>
      <c r="I15" s="21">
        <v>0.02</v>
      </c>
      <c r="J15" s="21">
        <v>1.7000000000000001E-2</v>
      </c>
      <c r="K15" s="21">
        <v>1.6E-2</v>
      </c>
      <c r="L15" s="21">
        <v>1.4999999999999999E-2</v>
      </c>
      <c r="M15" s="21">
        <v>1.4E-2</v>
      </c>
    </row>
    <row r="16" spans="1:13" x14ac:dyDescent="0.25">
      <c r="A16" s="14" t="s">
        <v>207</v>
      </c>
      <c r="B16" s="15">
        <f t="shared" ref="B16:M16" si="2">(B15-B14)/B14</f>
        <v>-9.5238095238095316E-2</v>
      </c>
      <c r="C16" s="15">
        <f t="shared" si="2"/>
        <v>-8.6956521739130363E-2</v>
      </c>
      <c r="D16" s="15">
        <f t="shared" si="2"/>
        <v>-0.10000000000000009</v>
      </c>
      <c r="E16" s="15">
        <f t="shared" si="2"/>
        <v>-0.10526315789473675</v>
      </c>
      <c r="F16" s="15">
        <f t="shared" si="2"/>
        <v>-0.11111111111111102</v>
      </c>
      <c r="G16" s="15">
        <f t="shared" si="2"/>
        <v>-0.11764705882352951</v>
      </c>
      <c r="H16" s="15">
        <f t="shared" si="2"/>
        <v>-0.10000000000000009</v>
      </c>
      <c r="I16" s="15">
        <f t="shared" si="2"/>
        <v>-9.0909090909090842E-2</v>
      </c>
      <c r="J16" s="15">
        <f t="shared" si="2"/>
        <v>-0.10526315789473675</v>
      </c>
      <c r="K16" s="15">
        <f t="shared" si="2"/>
        <v>-0.11111111111111102</v>
      </c>
      <c r="L16" s="15">
        <f t="shared" si="2"/>
        <v>-6.2500000000000056E-2</v>
      </c>
      <c r="M16" s="15">
        <f t="shared" si="2"/>
        <v>-6.666666666666661E-2</v>
      </c>
    </row>
    <row r="18" spans="1:7" ht="17.25" x14ac:dyDescent="0.3">
      <c r="A18" s="31" t="s">
        <v>258</v>
      </c>
      <c r="B18" s="32"/>
      <c r="C18" s="32"/>
      <c r="D18" s="32"/>
      <c r="E18" s="32"/>
      <c r="F18" s="32"/>
      <c r="G18" s="32"/>
    </row>
    <row r="19" spans="1:7" ht="27.95" customHeight="1" x14ac:dyDescent="0.25">
      <c r="A19" s="66" t="s">
        <v>259</v>
      </c>
      <c r="B19" s="67"/>
      <c r="C19" s="67"/>
      <c r="D19" s="67"/>
      <c r="E19" s="67"/>
      <c r="F19" s="67"/>
      <c r="G19" s="67"/>
    </row>
    <row r="20" spans="1:7" ht="21.95" customHeight="1" x14ac:dyDescent="0.25">
      <c r="A20" s="33" t="s">
        <v>216</v>
      </c>
      <c r="B20" s="33" t="s">
        <v>260</v>
      </c>
      <c r="C20" s="33" t="s">
        <v>261</v>
      </c>
      <c r="D20" s="33" t="s">
        <v>262</v>
      </c>
      <c r="E20" s="33" t="s">
        <v>263</v>
      </c>
      <c r="F20" s="33" t="s">
        <v>264</v>
      </c>
      <c r="G20" s="33" t="s">
        <v>84</v>
      </c>
    </row>
    <row r="21" spans="1:7" ht="20.100000000000001" customHeight="1" x14ac:dyDescent="0.25">
      <c r="A21" s="45">
        <v>45292</v>
      </c>
      <c r="B21" s="46">
        <v>442484</v>
      </c>
      <c r="C21" s="47">
        <v>429861</v>
      </c>
      <c r="D21" s="47">
        <v>455108</v>
      </c>
      <c r="E21" s="47">
        <f t="shared" ref="E21:E33" si="3">D21-C21</f>
        <v>25247</v>
      </c>
      <c r="F21" s="48" t="s">
        <v>265</v>
      </c>
      <c r="G21" s="61" t="s">
        <v>266</v>
      </c>
    </row>
    <row r="22" spans="1:7" ht="20.100000000000001" customHeight="1" x14ac:dyDescent="0.25">
      <c r="A22" s="49">
        <v>45323</v>
      </c>
      <c r="B22" s="50">
        <v>453446</v>
      </c>
      <c r="C22" s="51">
        <v>435593</v>
      </c>
      <c r="D22" s="51">
        <v>471299</v>
      </c>
      <c r="E22" s="51">
        <f t="shared" si="3"/>
        <v>35706</v>
      </c>
      <c r="F22" s="52">
        <f t="shared" ref="F22:F32" si="4">(B22-B21)/B21</f>
        <v>2.4773777130924508E-2</v>
      </c>
      <c r="G22" s="62" t="s">
        <v>267</v>
      </c>
    </row>
    <row r="23" spans="1:7" ht="20.100000000000001" customHeight="1" x14ac:dyDescent="0.25">
      <c r="A23" s="53">
        <v>45352</v>
      </c>
      <c r="B23" s="54">
        <v>483417</v>
      </c>
      <c r="C23" s="47">
        <v>461552</v>
      </c>
      <c r="D23" s="47">
        <v>505282</v>
      </c>
      <c r="E23" s="47">
        <f t="shared" si="3"/>
        <v>43730</v>
      </c>
      <c r="F23" s="55">
        <f t="shared" si="4"/>
        <v>6.6096073181812168E-2</v>
      </c>
      <c r="G23" s="61" t="s">
        <v>268</v>
      </c>
    </row>
    <row r="24" spans="1:7" ht="20.100000000000001" customHeight="1" x14ac:dyDescent="0.25">
      <c r="A24" s="49">
        <v>45383</v>
      </c>
      <c r="B24" s="50">
        <v>503981</v>
      </c>
      <c r="C24" s="51">
        <v>478733</v>
      </c>
      <c r="D24" s="51">
        <v>529228</v>
      </c>
      <c r="E24" s="51">
        <f t="shared" si="3"/>
        <v>50495</v>
      </c>
      <c r="F24" s="52">
        <f t="shared" si="4"/>
        <v>4.2538843276094966E-2</v>
      </c>
      <c r="G24" s="62" t="s">
        <v>269</v>
      </c>
    </row>
    <row r="25" spans="1:7" ht="20.100000000000001" customHeight="1" x14ac:dyDescent="0.25">
      <c r="A25" s="53">
        <v>45413</v>
      </c>
      <c r="B25" s="54">
        <v>526213</v>
      </c>
      <c r="C25" s="47">
        <v>497985</v>
      </c>
      <c r="D25" s="47">
        <v>554441</v>
      </c>
      <c r="E25" s="47">
        <f t="shared" si="3"/>
        <v>56456</v>
      </c>
      <c r="F25" s="55">
        <f t="shared" si="4"/>
        <v>4.4112774092674126E-2</v>
      </c>
      <c r="G25" s="61" t="s">
        <v>270</v>
      </c>
    </row>
    <row r="26" spans="1:7" ht="20.100000000000001" customHeight="1" x14ac:dyDescent="0.25">
      <c r="A26" s="49">
        <v>45444</v>
      </c>
      <c r="B26" s="50">
        <v>549332</v>
      </c>
      <c r="C26" s="51">
        <v>518410</v>
      </c>
      <c r="D26" s="51">
        <v>580254</v>
      </c>
      <c r="E26" s="51">
        <f t="shared" si="3"/>
        <v>61844</v>
      </c>
      <c r="F26" s="52">
        <f t="shared" si="4"/>
        <v>4.3934680443090533E-2</v>
      </c>
      <c r="G26" s="62" t="s">
        <v>271</v>
      </c>
    </row>
    <row r="27" spans="1:7" ht="20.100000000000001" customHeight="1" x14ac:dyDescent="0.25">
      <c r="A27" s="53">
        <v>45474</v>
      </c>
      <c r="B27" s="54">
        <v>548691</v>
      </c>
      <c r="C27" s="47">
        <v>515291</v>
      </c>
      <c r="D27" s="47">
        <v>582091</v>
      </c>
      <c r="E27" s="47">
        <f t="shared" si="3"/>
        <v>66800</v>
      </c>
      <c r="F27" s="55">
        <f t="shared" si="4"/>
        <v>-1.166871764251855E-3</v>
      </c>
      <c r="G27" s="61" t="s">
        <v>272</v>
      </c>
    </row>
    <row r="28" spans="1:7" ht="20.100000000000001" customHeight="1" x14ac:dyDescent="0.25">
      <c r="A28" s="57">
        <v>45505</v>
      </c>
      <c r="B28" s="58">
        <v>544482</v>
      </c>
      <c r="C28" s="59">
        <v>508776</v>
      </c>
      <c r="D28" s="59">
        <v>580187</v>
      </c>
      <c r="E28" s="59">
        <f t="shared" si="3"/>
        <v>71411</v>
      </c>
      <c r="F28" s="60">
        <f t="shared" si="4"/>
        <v>-7.6709842151593518E-3</v>
      </c>
      <c r="G28" s="63" t="s">
        <v>273</v>
      </c>
    </row>
    <row r="29" spans="1:7" ht="20.100000000000001" customHeight="1" x14ac:dyDescent="0.25">
      <c r="A29" s="53">
        <v>45536</v>
      </c>
      <c r="B29" s="54">
        <v>574929</v>
      </c>
      <c r="C29" s="47">
        <v>537057</v>
      </c>
      <c r="D29" s="47">
        <v>612801</v>
      </c>
      <c r="E29" s="47">
        <f t="shared" si="3"/>
        <v>75744</v>
      </c>
      <c r="F29" s="55">
        <f t="shared" si="4"/>
        <v>5.5919203940626133E-2</v>
      </c>
      <c r="G29" s="61" t="s">
        <v>274</v>
      </c>
    </row>
    <row r="30" spans="1:7" ht="20.100000000000001" customHeight="1" x14ac:dyDescent="0.25">
      <c r="A30" s="49">
        <v>45566</v>
      </c>
      <c r="B30" s="50">
        <v>591614</v>
      </c>
      <c r="C30" s="51">
        <v>551694</v>
      </c>
      <c r="D30" s="51">
        <v>631534</v>
      </c>
      <c r="E30" s="51">
        <f t="shared" si="3"/>
        <v>79840</v>
      </c>
      <c r="F30" s="52">
        <f t="shared" si="4"/>
        <v>2.9020974763840406E-2</v>
      </c>
      <c r="G30" s="62" t="s">
        <v>275</v>
      </c>
    </row>
    <row r="31" spans="1:7" ht="20.100000000000001" customHeight="1" x14ac:dyDescent="0.25">
      <c r="A31" s="53">
        <v>45597</v>
      </c>
      <c r="B31" s="54">
        <v>617703</v>
      </c>
      <c r="C31" s="47">
        <v>575834</v>
      </c>
      <c r="D31" s="47">
        <v>659572</v>
      </c>
      <c r="E31" s="47">
        <f t="shared" si="3"/>
        <v>83738</v>
      </c>
      <c r="F31" s="55">
        <f t="shared" si="4"/>
        <v>4.4098009851017722E-2</v>
      </c>
      <c r="G31" s="61" t="s">
        <v>276</v>
      </c>
    </row>
    <row r="32" spans="1:7" ht="20.100000000000001" customHeight="1" x14ac:dyDescent="0.25">
      <c r="A32" s="49">
        <v>45627</v>
      </c>
      <c r="B32" s="56">
        <v>652934</v>
      </c>
      <c r="C32" s="51">
        <v>609204</v>
      </c>
      <c r="D32" s="51">
        <v>696665</v>
      </c>
      <c r="E32" s="51">
        <f t="shared" si="3"/>
        <v>87461</v>
      </c>
      <c r="F32" s="52">
        <f t="shared" si="4"/>
        <v>5.7035500879872691E-2</v>
      </c>
      <c r="G32" s="64" t="s">
        <v>277</v>
      </c>
    </row>
    <row r="33" spans="1:7" ht="20.100000000000001" customHeight="1" x14ac:dyDescent="0.25">
      <c r="A33" s="35" t="s">
        <v>278</v>
      </c>
      <c r="B33" s="36">
        <f>SUM(B21:B32)</f>
        <v>6489226</v>
      </c>
      <c r="C33" s="36">
        <f>SUM(C21:C32)</f>
        <v>6119990</v>
      </c>
      <c r="D33" s="36">
        <f>SUM(D21:D32)</f>
        <v>6858462</v>
      </c>
      <c r="E33" s="36">
        <f t="shared" si="3"/>
        <v>738472</v>
      </c>
      <c r="F33" s="37">
        <f>(B33-4375000)/4375000</f>
        <v>0.48325165714285712</v>
      </c>
      <c r="G33" s="38" t="s">
        <v>279</v>
      </c>
    </row>
    <row r="35" spans="1:7" ht="15.75" x14ac:dyDescent="0.25">
      <c r="A35" s="39" t="s">
        <v>280</v>
      </c>
      <c r="B35" s="32"/>
      <c r="C35" s="32"/>
      <c r="D35" s="32"/>
      <c r="E35" s="32"/>
      <c r="F35" s="32"/>
      <c r="G35" s="32"/>
    </row>
    <row r="36" spans="1:7" ht="51.95" customHeight="1" x14ac:dyDescent="0.25">
      <c r="A36" s="40" t="s">
        <v>281</v>
      </c>
      <c r="B36" s="40" t="s">
        <v>282</v>
      </c>
      <c r="C36" s="40" t="s">
        <v>283</v>
      </c>
      <c r="D36" s="40" t="s">
        <v>284</v>
      </c>
    </row>
    <row r="37" spans="1:7" ht="51.95" customHeight="1" x14ac:dyDescent="0.25">
      <c r="A37" s="41">
        <v>1</v>
      </c>
      <c r="B37" s="34" t="s">
        <v>285</v>
      </c>
      <c r="C37" s="65" t="s">
        <v>286</v>
      </c>
      <c r="D37" s="65" t="s">
        <v>287</v>
      </c>
    </row>
    <row r="38" spans="1:7" ht="51.95" customHeight="1" x14ac:dyDescent="0.25">
      <c r="A38" s="41">
        <v>2</v>
      </c>
      <c r="B38" s="34" t="s">
        <v>288</v>
      </c>
      <c r="C38" s="65" t="s">
        <v>289</v>
      </c>
      <c r="D38" s="65" t="s">
        <v>290</v>
      </c>
    </row>
    <row r="39" spans="1:7" ht="51.95" customHeight="1" x14ac:dyDescent="0.25">
      <c r="A39" s="41">
        <v>3</v>
      </c>
      <c r="B39" s="34" t="s">
        <v>291</v>
      </c>
      <c r="C39" s="65" t="s">
        <v>292</v>
      </c>
      <c r="D39" s="65" t="s">
        <v>293</v>
      </c>
    </row>
    <row r="40" spans="1:7" ht="51.95" customHeight="1" x14ac:dyDescent="0.25"/>
    <row r="41" spans="1:7" ht="51.95" customHeight="1" x14ac:dyDescent="0.25">
      <c r="A41" s="39" t="s">
        <v>294</v>
      </c>
      <c r="B41" s="32"/>
      <c r="C41" s="32"/>
      <c r="D41" s="32"/>
      <c r="E41" s="32"/>
      <c r="F41" s="32"/>
      <c r="G41" s="32"/>
    </row>
    <row r="42" spans="1:7" ht="51.95" customHeight="1" x14ac:dyDescent="0.25">
      <c r="A42" s="42" t="s">
        <v>295</v>
      </c>
      <c r="B42" s="43" t="s">
        <v>296</v>
      </c>
      <c r="C42" s="44" t="s">
        <v>297</v>
      </c>
      <c r="D42" s="44" t="s">
        <v>298</v>
      </c>
      <c r="E42" s="42" t="s">
        <v>299</v>
      </c>
    </row>
    <row r="43" spans="1:7" ht="51.95" customHeight="1" x14ac:dyDescent="0.25">
      <c r="A43" s="34" t="s">
        <v>300</v>
      </c>
      <c r="B43" s="65" t="s">
        <v>301</v>
      </c>
      <c r="C43" s="65" t="s">
        <v>302</v>
      </c>
      <c r="D43" s="65" t="s">
        <v>303</v>
      </c>
      <c r="E43" s="65" t="s">
        <v>304</v>
      </c>
    </row>
    <row r="44" spans="1:7" ht="51.95" customHeight="1" x14ac:dyDescent="0.25">
      <c r="A44" s="34" t="s">
        <v>305</v>
      </c>
      <c r="B44" s="65" t="s">
        <v>306</v>
      </c>
      <c r="C44" s="65" t="s">
        <v>307</v>
      </c>
      <c r="D44" s="65" t="s">
        <v>308</v>
      </c>
      <c r="E44" s="65" t="s">
        <v>309</v>
      </c>
    </row>
    <row r="45" spans="1:7" ht="51.95" customHeight="1" x14ac:dyDescent="0.25">
      <c r="A45" s="34" t="s">
        <v>310</v>
      </c>
      <c r="B45" s="65" t="s">
        <v>311</v>
      </c>
      <c r="C45" s="65" t="s">
        <v>312</v>
      </c>
      <c r="D45" s="65" t="s">
        <v>313</v>
      </c>
      <c r="E45" s="65" t="s">
        <v>314</v>
      </c>
    </row>
    <row r="46" spans="1:7" ht="51.95" customHeight="1" x14ac:dyDescent="0.25">
      <c r="A46" s="34" t="s">
        <v>315</v>
      </c>
      <c r="B46" s="65" t="s">
        <v>316</v>
      </c>
      <c r="C46" s="65" t="s">
        <v>317</v>
      </c>
      <c r="D46" s="65" t="s">
        <v>318</v>
      </c>
      <c r="E46" s="65" t="s">
        <v>319</v>
      </c>
    </row>
    <row r="47" spans="1:7" ht="51.95" customHeight="1" x14ac:dyDescent="0.25">
      <c r="A47" s="34" t="s">
        <v>320</v>
      </c>
      <c r="B47" s="65" t="s">
        <v>321</v>
      </c>
      <c r="C47" s="65" t="s">
        <v>322</v>
      </c>
      <c r="D47" s="65" t="s">
        <v>323</v>
      </c>
      <c r="E47" s="65" t="s">
        <v>324</v>
      </c>
    </row>
  </sheetData>
  <mergeCells count="5">
    <mergeCell ref="A1:M1"/>
    <mergeCell ref="A2:M2"/>
    <mergeCell ref="A3:M3"/>
    <mergeCell ref="A4:M4"/>
    <mergeCell ref="A5:M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8"/>
  <sheetViews>
    <sheetView tabSelected="1" topLeftCell="A2" zoomScale="70" zoomScaleNormal="70" workbookViewId="0">
      <selection activeCell="J35" sqref="J35"/>
    </sheetView>
  </sheetViews>
  <sheetFormatPr defaultColWidth="8.7109375" defaultRowHeight="15" x14ac:dyDescent="0.25"/>
  <cols>
    <col min="1" max="1" width="18" customWidth="1"/>
    <col min="2" max="8" width="14" customWidth="1"/>
    <col min="9" max="9" width="18" customWidth="1"/>
  </cols>
  <sheetData>
    <row r="1" spans="1:9" ht="36" customHeight="1" x14ac:dyDescent="0.25">
      <c r="A1" s="72" t="s">
        <v>212</v>
      </c>
      <c r="B1" s="72"/>
      <c r="C1" s="72"/>
      <c r="D1" s="72"/>
      <c r="E1" s="72"/>
      <c r="F1" s="72"/>
      <c r="G1" s="72"/>
      <c r="H1" s="72"/>
      <c r="I1" s="72"/>
    </row>
    <row r="2" spans="1:9" ht="21.75" customHeight="1" x14ac:dyDescent="0.25">
      <c r="A2" s="73" t="s">
        <v>213</v>
      </c>
      <c r="B2" s="73"/>
      <c r="C2" s="73"/>
      <c r="D2" s="73"/>
      <c r="E2" s="73"/>
      <c r="F2" s="73"/>
      <c r="G2" s="73"/>
      <c r="H2" s="73"/>
      <c r="I2" s="73"/>
    </row>
    <row r="3" spans="1:9" ht="18" customHeight="1" x14ac:dyDescent="0.25">
      <c r="A3" s="74" t="s">
        <v>2</v>
      </c>
      <c r="B3" s="74"/>
      <c r="C3" s="74"/>
      <c r="D3" s="74"/>
      <c r="E3" s="74"/>
      <c r="F3" s="74"/>
      <c r="G3" s="74"/>
      <c r="H3" s="74"/>
      <c r="I3" s="74"/>
    </row>
    <row r="4" spans="1:9" ht="72" customHeight="1" x14ac:dyDescent="0.25">
      <c r="A4" s="75" t="s">
        <v>214</v>
      </c>
      <c r="B4" s="75"/>
      <c r="C4" s="75"/>
      <c r="D4" s="75"/>
      <c r="E4" s="75"/>
      <c r="F4" s="75"/>
      <c r="G4" s="75"/>
      <c r="H4" s="75"/>
      <c r="I4" s="75"/>
    </row>
    <row r="5" spans="1:9" ht="18" customHeight="1" x14ac:dyDescent="0.25">
      <c r="A5" s="76" t="s">
        <v>4</v>
      </c>
      <c r="B5" s="76"/>
      <c r="C5" s="76"/>
      <c r="D5" s="76"/>
      <c r="E5" s="76"/>
      <c r="F5" s="76"/>
      <c r="G5" s="76"/>
      <c r="H5" s="76"/>
      <c r="I5" s="76"/>
    </row>
    <row r="6" spans="1:9" ht="19.5" customHeight="1" x14ac:dyDescent="0.25">
      <c r="A6" s="70" t="s">
        <v>215</v>
      </c>
      <c r="B6" s="70"/>
      <c r="C6" s="70"/>
      <c r="D6" s="70"/>
      <c r="E6" s="70"/>
      <c r="F6" s="70"/>
      <c r="G6" s="70"/>
      <c r="H6" s="70"/>
      <c r="I6" s="70"/>
    </row>
    <row r="7" spans="1:9" ht="25.5" x14ac:dyDescent="0.25">
      <c r="A7" s="1" t="s">
        <v>216</v>
      </c>
      <c r="B7" s="1" t="s">
        <v>217</v>
      </c>
      <c r="C7" s="1" t="s">
        <v>218</v>
      </c>
      <c r="D7" s="1" t="s">
        <v>219</v>
      </c>
      <c r="E7" s="1" t="s">
        <v>220</v>
      </c>
      <c r="F7" s="1" t="s">
        <v>221</v>
      </c>
      <c r="G7" s="1" t="s">
        <v>222</v>
      </c>
      <c r="H7" s="1" t="s">
        <v>223</v>
      </c>
      <c r="I7" s="1" t="s">
        <v>224</v>
      </c>
    </row>
    <row r="8" spans="1:9" x14ac:dyDescent="0.25">
      <c r="A8" s="22" t="s">
        <v>193</v>
      </c>
      <c r="B8" s="23">
        <v>298000</v>
      </c>
      <c r="C8" s="23">
        <v>310000</v>
      </c>
      <c r="D8" s="23">
        <v>208600</v>
      </c>
      <c r="E8" s="24">
        <f t="shared" ref="E8:E19" si="0">D8/B8</f>
        <v>0.7</v>
      </c>
      <c r="F8" s="23">
        <v>-185000</v>
      </c>
      <c r="G8" s="23">
        <f t="shared" ref="G8:G19" si="1">D8+F8</f>
        <v>23600</v>
      </c>
      <c r="H8" s="23">
        <v>1240000</v>
      </c>
      <c r="I8" s="22">
        <v>42</v>
      </c>
    </row>
    <row r="9" spans="1:9" x14ac:dyDescent="0.25">
      <c r="A9" s="25" t="s">
        <v>194</v>
      </c>
      <c r="B9" s="26">
        <v>289000</v>
      </c>
      <c r="C9" s="26">
        <v>315000</v>
      </c>
      <c r="D9" s="26">
        <v>202300</v>
      </c>
      <c r="E9" s="27">
        <f t="shared" si="0"/>
        <v>0.7</v>
      </c>
      <c r="F9" s="26">
        <v>-189000</v>
      </c>
      <c r="G9" s="26">
        <f t="shared" si="1"/>
        <v>13300</v>
      </c>
      <c r="H9" s="26">
        <v>1051000</v>
      </c>
      <c r="I9" s="25">
        <v>42</v>
      </c>
    </row>
    <row r="10" spans="1:9" x14ac:dyDescent="0.25">
      <c r="A10" s="22" t="s">
        <v>195</v>
      </c>
      <c r="B10" s="23">
        <v>315000</v>
      </c>
      <c r="C10" s="23">
        <v>320000</v>
      </c>
      <c r="D10" s="23">
        <v>220500</v>
      </c>
      <c r="E10" s="24">
        <f t="shared" si="0"/>
        <v>0.7</v>
      </c>
      <c r="F10" s="23">
        <v>-192000</v>
      </c>
      <c r="G10" s="23">
        <f t="shared" si="1"/>
        <v>28500</v>
      </c>
      <c r="H10" s="23">
        <v>1079500</v>
      </c>
      <c r="I10" s="22">
        <v>43</v>
      </c>
    </row>
    <row r="11" spans="1:9" x14ac:dyDescent="0.25">
      <c r="A11" s="25" t="s">
        <v>196</v>
      </c>
      <c r="B11" s="26">
        <v>334000</v>
      </c>
      <c r="C11" s="26">
        <v>330000</v>
      </c>
      <c r="D11" s="26">
        <v>233800</v>
      </c>
      <c r="E11" s="27">
        <f t="shared" si="0"/>
        <v>0.7</v>
      </c>
      <c r="F11" s="26">
        <v>-195000</v>
      </c>
      <c r="G11" s="26">
        <f t="shared" si="1"/>
        <v>38800</v>
      </c>
      <c r="H11" s="26">
        <v>1118300</v>
      </c>
      <c r="I11" s="25">
        <v>43</v>
      </c>
    </row>
    <row r="12" spans="1:9" x14ac:dyDescent="0.25">
      <c r="A12" s="22" t="s">
        <v>197</v>
      </c>
      <c r="B12" s="23">
        <v>351000</v>
      </c>
      <c r="C12" s="23">
        <v>345000</v>
      </c>
      <c r="D12" s="23">
        <v>245700</v>
      </c>
      <c r="E12" s="24">
        <f t="shared" si="0"/>
        <v>0.7</v>
      </c>
      <c r="F12" s="23">
        <v>-198000</v>
      </c>
      <c r="G12" s="23">
        <f t="shared" si="1"/>
        <v>47700</v>
      </c>
      <c r="H12" s="23">
        <v>1167000</v>
      </c>
      <c r="I12" s="22">
        <v>44</v>
      </c>
    </row>
    <row r="13" spans="1:9" x14ac:dyDescent="0.25">
      <c r="A13" s="25" t="s">
        <v>198</v>
      </c>
      <c r="B13" s="26">
        <v>372000</v>
      </c>
      <c r="C13" s="26">
        <v>355000</v>
      </c>
      <c r="D13" s="26">
        <v>260400</v>
      </c>
      <c r="E13" s="27">
        <f t="shared" si="0"/>
        <v>0.7</v>
      </c>
      <c r="F13" s="26">
        <v>-201000</v>
      </c>
      <c r="G13" s="26">
        <f t="shared" si="1"/>
        <v>59400</v>
      </c>
      <c r="H13" s="26">
        <v>1226400</v>
      </c>
      <c r="I13" s="25">
        <v>45</v>
      </c>
    </row>
    <row r="14" spans="1:9" x14ac:dyDescent="0.25">
      <c r="A14" s="22" t="s">
        <v>199</v>
      </c>
      <c r="B14" s="23">
        <v>365000</v>
      </c>
      <c r="C14" s="23">
        <v>365000</v>
      </c>
      <c r="D14" s="23">
        <v>255500</v>
      </c>
      <c r="E14" s="24">
        <f t="shared" si="0"/>
        <v>0.7</v>
      </c>
      <c r="F14" s="23">
        <v>-204000</v>
      </c>
      <c r="G14" s="23">
        <f t="shared" si="1"/>
        <v>51500</v>
      </c>
      <c r="H14" s="23">
        <v>1277900</v>
      </c>
      <c r="I14" s="22">
        <v>45</v>
      </c>
    </row>
    <row r="15" spans="1:9" x14ac:dyDescent="0.25">
      <c r="A15" s="25" t="s">
        <v>200</v>
      </c>
      <c r="B15" s="26">
        <v>358000</v>
      </c>
      <c r="C15" s="26">
        <v>370000</v>
      </c>
      <c r="D15" s="26">
        <v>250600</v>
      </c>
      <c r="E15" s="27">
        <f t="shared" si="0"/>
        <v>0.7</v>
      </c>
      <c r="F15" s="26">
        <v>-207000</v>
      </c>
      <c r="G15" s="26">
        <f t="shared" si="1"/>
        <v>43600</v>
      </c>
      <c r="H15" s="26">
        <v>1321500</v>
      </c>
      <c r="I15" s="25">
        <v>46</v>
      </c>
    </row>
    <row r="16" spans="1:9" x14ac:dyDescent="0.25">
      <c r="A16" s="22" t="s">
        <v>201</v>
      </c>
      <c r="B16" s="23">
        <v>389000</v>
      </c>
      <c r="C16" s="23">
        <v>380000</v>
      </c>
      <c r="D16" s="23">
        <v>272300</v>
      </c>
      <c r="E16" s="24">
        <f t="shared" si="0"/>
        <v>0.7</v>
      </c>
      <c r="F16" s="23">
        <v>-211000</v>
      </c>
      <c r="G16" s="23">
        <f t="shared" si="1"/>
        <v>61300</v>
      </c>
      <c r="H16" s="23">
        <v>1382800</v>
      </c>
      <c r="I16" s="22">
        <v>46</v>
      </c>
    </row>
    <row r="17" spans="1:9" x14ac:dyDescent="0.25">
      <c r="A17" s="25" t="s">
        <v>202</v>
      </c>
      <c r="B17" s="26">
        <v>405000</v>
      </c>
      <c r="C17" s="26">
        <v>390000</v>
      </c>
      <c r="D17" s="26">
        <v>283500</v>
      </c>
      <c r="E17" s="27">
        <f t="shared" si="0"/>
        <v>0.7</v>
      </c>
      <c r="F17" s="26">
        <v>-215000</v>
      </c>
      <c r="G17" s="26">
        <f t="shared" si="1"/>
        <v>68500</v>
      </c>
      <c r="H17" s="26">
        <v>1451300</v>
      </c>
      <c r="I17" s="25">
        <v>47</v>
      </c>
    </row>
    <row r="18" spans="1:9" x14ac:dyDescent="0.25">
      <c r="A18" s="22" t="s">
        <v>203</v>
      </c>
      <c r="B18" s="23">
        <v>431000</v>
      </c>
      <c r="C18" s="23">
        <v>405000</v>
      </c>
      <c r="D18" s="23">
        <v>301700</v>
      </c>
      <c r="E18" s="24">
        <f t="shared" si="0"/>
        <v>0.7</v>
      </c>
      <c r="F18" s="23">
        <v>-219000</v>
      </c>
      <c r="G18" s="23">
        <f t="shared" si="1"/>
        <v>82700</v>
      </c>
      <c r="H18" s="23">
        <v>1533000</v>
      </c>
      <c r="I18" s="22">
        <v>48</v>
      </c>
    </row>
    <row r="19" spans="1:9" x14ac:dyDescent="0.25">
      <c r="A19" s="25" t="s">
        <v>204</v>
      </c>
      <c r="B19" s="26">
        <v>468000</v>
      </c>
      <c r="C19" s="26">
        <v>420000</v>
      </c>
      <c r="D19" s="26">
        <v>327600</v>
      </c>
      <c r="E19" s="27">
        <f t="shared" si="0"/>
        <v>0.7</v>
      </c>
      <c r="F19" s="26">
        <v>-224000</v>
      </c>
      <c r="G19" s="26">
        <f t="shared" si="1"/>
        <v>103600</v>
      </c>
      <c r="H19" s="26">
        <v>1636600</v>
      </c>
      <c r="I19" s="25">
        <v>49</v>
      </c>
    </row>
    <row r="21" spans="1:9" ht="19.5" customHeight="1" x14ac:dyDescent="0.25">
      <c r="A21" s="74" t="s">
        <v>225</v>
      </c>
      <c r="B21" s="74"/>
      <c r="C21" s="74"/>
      <c r="D21" s="74"/>
      <c r="E21" s="74"/>
      <c r="F21" s="74"/>
      <c r="G21" s="74"/>
      <c r="H21" s="74"/>
      <c r="I21" s="74"/>
    </row>
    <row r="22" spans="1:9" x14ac:dyDescent="0.25">
      <c r="A22" s="1" t="s">
        <v>226</v>
      </c>
      <c r="B22" s="1" t="s">
        <v>227</v>
      </c>
      <c r="C22" s="1" t="s">
        <v>228</v>
      </c>
      <c r="D22" s="1" t="s">
        <v>229</v>
      </c>
      <c r="E22" s="1" t="s">
        <v>83</v>
      </c>
    </row>
    <row r="23" spans="1:9" ht="25.5" x14ac:dyDescent="0.25">
      <c r="A23" s="28" t="s">
        <v>230</v>
      </c>
      <c r="B23" s="28" t="s">
        <v>231</v>
      </c>
      <c r="C23" s="28" t="s">
        <v>232</v>
      </c>
      <c r="D23" s="28" t="s">
        <v>233</v>
      </c>
      <c r="E23" s="28" t="s">
        <v>234</v>
      </c>
    </row>
    <row r="24" spans="1:9" x14ac:dyDescent="0.25">
      <c r="A24" s="28" t="s">
        <v>235</v>
      </c>
      <c r="B24" s="28" t="s">
        <v>236</v>
      </c>
      <c r="C24" s="28" t="s">
        <v>237</v>
      </c>
      <c r="D24" s="28" t="s">
        <v>238</v>
      </c>
      <c r="E24" s="28" t="s">
        <v>239</v>
      </c>
    </row>
    <row r="25" spans="1:9" ht="25.5" x14ac:dyDescent="0.25">
      <c r="A25" s="29" t="s">
        <v>240</v>
      </c>
      <c r="B25" s="29" t="s">
        <v>241</v>
      </c>
      <c r="C25" s="29" t="s">
        <v>242</v>
      </c>
      <c r="D25" s="29" t="s">
        <v>243</v>
      </c>
      <c r="E25" s="29" t="s">
        <v>244</v>
      </c>
    </row>
    <row r="26" spans="1:9" ht="25.5" x14ac:dyDescent="0.25">
      <c r="A26" s="28" t="s">
        <v>245</v>
      </c>
      <c r="B26" s="28" t="s">
        <v>246</v>
      </c>
      <c r="C26" s="28" t="s">
        <v>247</v>
      </c>
      <c r="D26" s="28" t="s">
        <v>248</v>
      </c>
      <c r="E26" s="28" t="s">
        <v>234</v>
      </c>
    </row>
    <row r="27" spans="1:9" x14ac:dyDescent="0.25">
      <c r="A27" s="30" t="s">
        <v>249</v>
      </c>
      <c r="B27" s="30" t="s">
        <v>250</v>
      </c>
      <c r="C27" s="30" t="s">
        <v>251</v>
      </c>
      <c r="D27" s="30" t="s">
        <v>252</v>
      </c>
      <c r="E27" s="30" t="s">
        <v>253</v>
      </c>
    </row>
    <row r="28" spans="1:9" x14ac:dyDescent="0.25">
      <c r="A28" s="30" t="s">
        <v>254</v>
      </c>
      <c r="B28" s="30" t="s">
        <v>255</v>
      </c>
      <c r="C28" s="30" t="s">
        <v>256</v>
      </c>
      <c r="D28" s="30" t="s">
        <v>257</v>
      </c>
      <c r="E28" s="30" t="s">
        <v>253</v>
      </c>
    </row>
  </sheetData>
  <mergeCells count="7">
    <mergeCell ref="A6:I6"/>
    <mergeCell ref="A21:I21"/>
    <mergeCell ref="A1:I1"/>
    <mergeCell ref="A2:I2"/>
    <mergeCell ref="A3:I3"/>
    <mergeCell ref="A4:I4"/>
    <mergeCell ref="A5:I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3148-2878-4BF4-8E70-FE598D5E5D4D}">
  <dimension ref="A1"/>
  <sheetViews>
    <sheetView showGridLines="0" topLeftCell="C1" zoomScale="25" zoomScaleNormal="25" workbookViewId="0">
      <selection activeCell="CF66" sqref="CF6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Claude Log</vt:lpstr>
      <vt:lpstr>1 - Bank Reconciliation</vt:lpstr>
      <vt:lpstr>2 - Data Cleaning</vt:lpstr>
      <vt:lpstr>3 - Expense Categorizer</vt:lpstr>
      <vt:lpstr>4 - Forecasting with AI</vt:lpstr>
      <vt:lpstr>5 - CFO Dashboard Data</vt:lpstr>
      <vt:lpstr>Dashboard 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ronen amos</cp:lastModifiedBy>
  <cp:revision>0</cp:revision>
  <dcterms:created xsi:type="dcterms:W3CDTF">2026-04-14T03:59:55Z</dcterms:created>
  <dcterms:modified xsi:type="dcterms:W3CDTF">2026-06-28T17:13:58Z</dcterms:modified>
  <dc:language>en-US</dc:language>
</cp:coreProperties>
</file>